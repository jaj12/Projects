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\Dropbox\MECH 674 PROJECT\"/>
    </mc:Choice>
  </mc:AlternateContent>
  <bookViews>
    <workbookView xWindow="-105" yWindow="-105" windowWidth="19425" windowHeight="10425" firstSheet="1" activeTab="3"/>
  </bookViews>
  <sheets>
    <sheet name="Design" sheetId="2" r:id="rId1"/>
    <sheet name="Load Data" sheetId="1" r:id="rId2"/>
    <sheet name="Economic Analysis" sheetId="3" r:id="rId3"/>
    <sheet name="to post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5" i="4" l="1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D95" i="3"/>
  <c r="D94" i="3"/>
  <c r="C95" i="3"/>
  <c r="C94" i="3"/>
  <c r="B95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B88" i="3"/>
  <c r="B87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C71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C70" i="3"/>
  <c r="D42" i="3"/>
  <c r="E42" i="3"/>
  <c r="E53" i="3" s="1"/>
  <c r="F42" i="3"/>
  <c r="F53" i="3" s="1"/>
  <c r="G42" i="3"/>
  <c r="G53" i="3" s="1"/>
  <c r="H42" i="3"/>
  <c r="I42" i="3"/>
  <c r="J42" i="3"/>
  <c r="K42" i="3"/>
  <c r="K53" i="3" s="1"/>
  <c r="L42" i="3"/>
  <c r="L53" i="3" s="1"/>
  <c r="M42" i="3"/>
  <c r="M53" i="3" s="1"/>
  <c r="N42" i="3"/>
  <c r="O42" i="3"/>
  <c r="O53" i="3" s="1"/>
  <c r="P42" i="3"/>
  <c r="Q42" i="3"/>
  <c r="Q53" i="3" s="1"/>
  <c r="R42" i="3"/>
  <c r="R53" i="3" s="1"/>
  <c r="S42" i="3"/>
  <c r="S53" i="3" s="1"/>
  <c r="T42" i="3"/>
  <c r="U42" i="3"/>
  <c r="U53" i="3" s="1"/>
  <c r="V41" i="3"/>
  <c r="V52" i="3" s="1"/>
  <c r="V42" i="3"/>
  <c r="V53" i="3" s="1"/>
  <c r="D41" i="3"/>
  <c r="E41" i="3"/>
  <c r="E52" i="3" s="1"/>
  <c r="F41" i="3"/>
  <c r="F52" i="3" s="1"/>
  <c r="G41" i="3"/>
  <c r="G52" i="3" s="1"/>
  <c r="H41" i="3"/>
  <c r="I41" i="3"/>
  <c r="J41" i="3"/>
  <c r="K41" i="3"/>
  <c r="L41" i="3"/>
  <c r="L52" i="3" s="1"/>
  <c r="M41" i="3"/>
  <c r="N41" i="3"/>
  <c r="O41" i="3"/>
  <c r="P41" i="3"/>
  <c r="Q41" i="3"/>
  <c r="Q52" i="3" s="1"/>
  <c r="R41" i="3"/>
  <c r="R52" i="3" s="1"/>
  <c r="S41" i="3"/>
  <c r="S52" i="3" s="1"/>
  <c r="T41" i="3"/>
  <c r="U41" i="3"/>
  <c r="C41" i="3"/>
  <c r="C52" i="3" s="1"/>
  <c r="C42" i="3"/>
  <c r="C53" i="3" s="1"/>
  <c r="D37" i="3"/>
  <c r="E37" i="3"/>
  <c r="E47" i="3" s="1"/>
  <c r="F37" i="3"/>
  <c r="F47" i="3" s="1"/>
  <c r="G37" i="3"/>
  <c r="G47" i="3" s="1"/>
  <c r="H37" i="3"/>
  <c r="I37" i="3"/>
  <c r="J37" i="3"/>
  <c r="K37" i="3"/>
  <c r="L37" i="3"/>
  <c r="L47" i="3" s="1"/>
  <c r="M37" i="3"/>
  <c r="M47" i="3" s="1"/>
  <c r="N37" i="3"/>
  <c r="O37" i="3"/>
  <c r="P37" i="3"/>
  <c r="Q37" i="3"/>
  <c r="Q47" i="3" s="1"/>
  <c r="R37" i="3"/>
  <c r="R47" i="3" s="1"/>
  <c r="S37" i="3"/>
  <c r="S47" i="3" s="1"/>
  <c r="T37" i="3"/>
  <c r="U37" i="3"/>
  <c r="V36" i="3"/>
  <c r="V46" i="3" s="1"/>
  <c r="V37" i="3"/>
  <c r="V47" i="3" s="1"/>
  <c r="D36" i="3"/>
  <c r="D46" i="3" s="1"/>
  <c r="E36" i="3"/>
  <c r="E46" i="3" s="1"/>
  <c r="F36" i="3"/>
  <c r="F46" i="3" s="1"/>
  <c r="G36" i="3"/>
  <c r="H36" i="3"/>
  <c r="I36" i="3"/>
  <c r="J36" i="3"/>
  <c r="K36" i="3"/>
  <c r="L36" i="3"/>
  <c r="L46" i="3" s="1"/>
  <c r="M36" i="3"/>
  <c r="N36" i="3"/>
  <c r="O36" i="3"/>
  <c r="O46" i="3" s="1"/>
  <c r="P36" i="3"/>
  <c r="P46" i="3" s="1"/>
  <c r="Q36" i="3"/>
  <c r="Q46" i="3" s="1"/>
  <c r="R36" i="3"/>
  <c r="R46" i="3" s="1"/>
  <c r="S36" i="3"/>
  <c r="T36" i="3"/>
  <c r="U36" i="3"/>
  <c r="C36" i="3"/>
  <c r="C46" i="3" s="1"/>
  <c r="C37" i="3"/>
  <c r="C47" i="3" s="1"/>
  <c r="D17" i="3"/>
  <c r="E17" i="3"/>
  <c r="F17" i="3"/>
  <c r="F24" i="3" s="1"/>
  <c r="G17" i="3"/>
  <c r="G24" i="3" s="1"/>
  <c r="H17" i="3"/>
  <c r="I17" i="3"/>
  <c r="J17" i="3"/>
  <c r="K17" i="3"/>
  <c r="L17" i="3"/>
  <c r="M17" i="3"/>
  <c r="M24" i="3" s="1"/>
  <c r="N17" i="3"/>
  <c r="O17" i="3"/>
  <c r="P17" i="3"/>
  <c r="Q17" i="3"/>
  <c r="Q24" i="3" s="1"/>
  <c r="R17" i="3"/>
  <c r="R24" i="3" s="1"/>
  <c r="S17" i="3"/>
  <c r="S24" i="3" s="1"/>
  <c r="T17" i="3"/>
  <c r="U17" i="3"/>
  <c r="H24" i="3"/>
  <c r="I24" i="3"/>
  <c r="O24" i="3"/>
  <c r="U24" i="3"/>
  <c r="V17" i="3"/>
  <c r="V24" i="3"/>
  <c r="V16" i="3"/>
  <c r="V23" i="3" s="1"/>
  <c r="D16" i="3"/>
  <c r="E16" i="3"/>
  <c r="E23" i="3" s="1"/>
  <c r="F16" i="3"/>
  <c r="F23" i="3" s="1"/>
  <c r="G16" i="3"/>
  <c r="H16" i="3"/>
  <c r="I16" i="3"/>
  <c r="J16" i="3"/>
  <c r="K16" i="3"/>
  <c r="K23" i="3" s="1"/>
  <c r="L16" i="3"/>
  <c r="M16" i="3"/>
  <c r="N16" i="3"/>
  <c r="N23" i="3" s="1"/>
  <c r="O16" i="3"/>
  <c r="O23" i="3" s="1"/>
  <c r="P16" i="3"/>
  <c r="Q16" i="3"/>
  <c r="R16" i="3"/>
  <c r="R23" i="3" s="1"/>
  <c r="S16" i="3"/>
  <c r="T16" i="3"/>
  <c r="T23" i="3" s="1"/>
  <c r="U16" i="3"/>
  <c r="C16" i="3"/>
  <c r="C23" i="3" s="1"/>
  <c r="C17" i="3"/>
  <c r="L23" i="3"/>
  <c r="M23" i="3"/>
  <c r="Q23" i="3"/>
  <c r="N24" i="3"/>
  <c r="G23" i="3"/>
  <c r="S23" i="3"/>
  <c r="D52" i="3"/>
  <c r="H52" i="3"/>
  <c r="I52" i="3"/>
  <c r="J52" i="3"/>
  <c r="K52" i="3"/>
  <c r="M52" i="3"/>
  <c r="N52" i="3"/>
  <c r="O52" i="3"/>
  <c r="P52" i="3"/>
  <c r="T52" i="3"/>
  <c r="U52" i="3"/>
  <c r="D53" i="3"/>
  <c r="H53" i="3"/>
  <c r="I53" i="3"/>
  <c r="J53" i="3"/>
  <c r="N53" i="3"/>
  <c r="P53" i="3"/>
  <c r="T53" i="3"/>
  <c r="B53" i="3"/>
  <c r="B52" i="3"/>
  <c r="D47" i="3"/>
  <c r="H47" i="3"/>
  <c r="I47" i="3"/>
  <c r="J47" i="3"/>
  <c r="K47" i="3"/>
  <c r="N47" i="3"/>
  <c r="O47" i="3"/>
  <c r="P47" i="3"/>
  <c r="T47" i="3"/>
  <c r="U47" i="3"/>
  <c r="B47" i="3"/>
  <c r="G46" i="3"/>
  <c r="H46" i="3"/>
  <c r="I46" i="3"/>
  <c r="J46" i="3"/>
  <c r="K46" i="3"/>
  <c r="M46" i="3"/>
  <c r="N46" i="3"/>
  <c r="S46" i="3"/>
  <c r="T46" i="3"/>
  <c r="U46" i="3"/>
  <c r="B46" i="3"/>
  <c r="B24" i="3"/>
  <c r="B23" i="3"/>
  <c r="B42" i="3"/>
  <c r="B41" i="3"/>
  <c r="D23" i="3"/>
  <c r="H23" i="3"/>
  <c r="I23" i="3"/>
  <c r="J23" i="3"/>
  <c r="P23" i="3"/>
  <c r="U23" i="3"/>
  <c r="D24" i="3"/>
  <c r="E24" i="3"/>
  <c r="J24" i="3"/>
  <c r="K24" i="3"/>
  <c r="L24" i="3"/>
  <c r="P24" i="3"/>
  <c r="T24" i="3"/>
  <c r="B16" i="3"/>
  <c r="C59" i="3" l="1"/>
  <c r="C58" i="3"/>
  <c r="B59" i="3"/>
  <c r="D59" i="3" s="1"/>
  <c r="B58" i="3"/>
  <c r="D58" i="3" s="1"/>
  <c r="C29" i="3"/>
  <c r="C28" i="3"/>
  <c r="C24" i="3"/>
  <c r="B29" i="3" s="1"/>
  <c r="B28" i="3"/>
  <c r="H3" i="3"/>
  <c r="H2" i="3"/>
  <c r="B17" i="3" l="1"/>
  <c r="B9" i="3"/>
  <c r="B11" i="3"/>
  <c r="B12" i="3" l="1"/>
  <c r="M49" i="2"/>
  <c r="V49" i="2"/>
  <c r="M50" i="2"/>
  <c r="V50" i="2"/>
  <c r="M51" i="2"/>
  <c r="V51" i="2"/>
  <c r="M52" i="2"/>
  <c r="V52" i="2"/>
  <c r="M53" i="2"/>
  <c r="V53" i="2"/>
  <c r="V48" i="2"/>
  <c r="M48" i="2"/>
  <c r="E9" i="1"/>
  <c r="M115" i="2" l="1"/>
  <c r="N115" i="2" s="1"/>
  <c r="D28" i="3" l="1"/>
  <c r="D29" i="3"/>
  <c r="M44" i="2"/>
  <c r="G5" i="2"/>
  <c r="D15" i="1"/>
  <c r="E15" i="1"/>
  <c r="F15" i="1"/>
  <c r="G15" i="1"/>
  <c r="H15" i="1"/>
  <c r="I15" i="1"/>
  <c r="J15" i="1"/>
  <c r="K15" i="1"/>
  <c r="L15" i="1"/>
  <c r="M15" i="1"/>
  <c r="N15" i="1"/>
  <c r="C15" i="1"/>
  <c r="D10" i="1"/>
  <c r="E10" i="1"/>
  <c r="F10" i="1"/>
  <c r="G10" i="1"/>
  <c r="H10" i="1"/>
  <c r="I10" i="1"/>
  <c r="J10" i="1"/>
  <c r="K10" i="1"/>
  <c r="L10" i="1"/>
  <c r="M10" i="1"/>
  <c r="N10" i="1"/>
  <c r="C10" i="1"/>
  <c r="D14" i="1"/>
  <c r="E14" i="1"/>
  <c r="F14" i="1"/>
  <c r="G14" i="1"/>
  <c r="H14" i="1"/>
  <c r="I14" i="1"/>
  <c r="J14" i="1"/>
  <c r="K14" i="1"/>
  <c r="L14" i="1"/>
  <c r="M14" i="1"/>
  <c r="N14" i="1"/>
  <c r="C14" i="1"/>
  <c r="D9" i="1"/>
  <c r="F9" i="1"/>
  <c r="G9" i="1"/>
  <c r="H9" i="1"/>
  <c r="I9" i="1"/>
  <c r="J9" i="1"/>
  <c r="K9" i="1"/>
  <c r="L9" i="1"/>
  <c r="M9" i="1"/>
  <c r="N9" i="1"/>
  <c r="C9" i="1"/>
  <c r="F11" i="1" l="1"/>
  <c r="D11" i="1"/>
  <c r="G16" i="1"/>
  <c r="L11" i="1"/>
  <c r="C16" i="1"/>
  <c r="J11" i="1"/>
  <c r="N16" i="1"/>
  <c r="F16" i="1"/>
  <c r="K11" i="1"/>
  <c r="I11" i="1"/>
  <c r="M16" i="1"/>
  <c r="E16" i="1"/>
  <c r="H11" i="1"/>
  <c r="L16" i="1"/>
  <c r="D16" i="1"/>
  <c r="C11" i="1"/>
  <c r="G11" i="1"/>
  <c r="K16" i="1"/>
  <c r="J16" i="1"/>
  <c r="N11" i="1"/>
  <c r="K18" i="1" s="1"/>
  <c r="G6" i="2" s="1"/>
  <c r="D24" i="2" s="1"/>
  <c r="M11" i="1"/>
  <c r="E11" i="1"/>
  <c r="I16" i="1"/>
  <c r="H16" i="1"/>
  <c r="D26" i="2" l="1"/>
  <c r="G52" i="2"/>
  <c r="C51" i="2"/>
  <c r="K51" i="2" s="1"/>
  <c r="C37" i="2"/>
  <c r="I27" i="2"/>
  <c r="E41" i="2" s="1"/>
  <c r="F41" i="2" s="1"/>
  <c r="N53" i="2" s="1"/>
  <c r="C50" i="2"/>
  <c r="K50" i="2" s="1"/>
  <c r="H23" i="2"/>
  <c r="H52" i="2"/>
  <c r="I50" i="2"/>
  <c r="U50" i="2" s="1"/>
  <c r="C36" i="2"/>
  <c r="G49" i="2"/>
  <c r="G53" i="2"/>
  <c r="I52" i="2"/>
  <c r="U52" i="2" s="1"/>
  <c r="C49" i="2"/>
  <c r="K49" i="2" s="1"/>
  <c r="H24" i="2"/>
  <c r="H49" i="2"/>
  <c r="H53" i="2"/>
  <c r="H25" i="2"/>
  <c r="C40" i="2"/>
  <c r="I24" i="2"/>
  <c r="C52" i="2"/>
  <c r="K52" i="2" s="1"/>
  <c r="C48" i="2"/>
  <c r="H26" i="2"/>
  <c r="H27" i="2"/>
  <c r="G50" i="2"/>
  <c r="I49" i="2"/>
  <c r="U49" i="2" s="1"/>
  <c r="C41" i="2"/>
  <c r="I23" i="2"/>
  <c r="E37" i="2" s="1"/>
  <c r="F37" i="2" s="1"/>
  <c r="N49" i="2" s="1"/>
  <c r="C39" i="2"/>
  <c r="H51" i="2"/>
  <c r="H50" i="2"/>
  <c r="I48" i="2"/>
  <c r="U48" i="2" s="1"/>
  <c r="I25" i="2"/>
  <c r="E39" i="2" s="1"/>
  <c r="F39" i="2" s="1"/>
  <c r="N51" i="2" s="1"/>
  <c r="P51" i="2" s="1"/>
  <c r="I51" i="2"/>
  <c r="U51" i="2" s="1"/>
  <c r="I26" i="2"/>
  <c r="E40" i="2" s="1"/>
  <c r="F40" i="2" s="1"/>
  <c r="N52" i="2" s="1"/>
  <c r="P52" i="2" s="1"/>
  <c r="G51" i="2"/>
  <c r="I53" i="2"/>
  <c r="U53" i="2" s="1"/>
  <c r="C53" i="2"/>
  <c r="K53" i="2" s="1"/>
  <c r="D27" i="2"/>
  <c r="C38" i="2"/>
  <c r="D25" i="2"/>
  <c r="H22" i="2"/>
  <c r="G115" i="2"/>
  <c r="I115" i="2"/>
  <c r="J115" i="2" s="1"/>
  <c r="C115" i="2"/>
  <c r="H115" i="2"/>
  <c r="G108" i="2"/>
  <c r="G48" i="2"/>
  <c r="C108" i="2"/>
  <c r="H48" i="2"/>
  <c r="D22" i="2"/>
  <c r="H108" i="2"/>
  <c r="D23" i="2"/>
  <c r="I22" i="2"/>
  <c r="E36" i="2" s="1"/>
  <c r="F36" i="2" s="1"/>
  <c r="N48" i="2" s="1"/>
  <c r="P48" i="2" s="1"/>
  <c r="T115" i="2"/>
  <c r="K48" i="2" l="1"/>
  <c r="S48" i="2"/>
  <c r="S50" i="2"/>
  <c r="S51" i="2"/>
  <c r="S53" i="2"/>
  <c r="S49" i="2"/>
  <c r="S52" i="2"/>
  <c r="J51" i="2"/>
  <c r="W51" i="2"/>
  <c r="J49" i="2"/>
  <c r="W49" i="2"/>
  <c r="P49" i="2"/>
  <c r="J50" i="2"/>
  <c r="W50" i="2"/>
  <c r="J48" i="2"/>
  <c r="W48" i="2"/>
  <c r="J53" i="2"/>
  <c r="W53" i="2"/>
  <c r="L52" i="2"/>
  <c r="Q52" i="2" s="1"/>
  <c r="J52" i="2"/>
  <c r="W52" i="2"/>
  <c r="L53" i="2"/>
  <c r="Q53" i="2" s="1"/>
  <c r="L48" i="2"/>
  <c r="Q48" i="2" s="1"/>
  <c r="L49" i="2"/>
  <c r="Q49" i="2" s="1"/>
  <c r="L50" i="2"/>
  <c r="P53" i="2"/>
  <c r="L51" i="2"/>
  <c r="Q51" i="2" s="1"/>
  <c r="L115" i="2"/>
  <c r="P115" i="2"/>
  <c r="Q115" i="2"/>
  <c r="G11" i="2"/>
  <c r="E38" i="2"/>
  <c r="F38" i="2" s="1"/>
  <c r="N50" i="2" s="1"/>
  <c r="P50" i="2" s="1"/>
  <c r="R53" i="2" l="1"/>
  <c r="T53" i="2" s="1"/>
  <c r="X53" i="2" s="1"/>
  <c r="R48" i="2"/>
  <c r="T48" i="2" s="1"/>
  <c r="X48" i="2" s="1"/>
  <c r="R49" i="2"/>
  <c r="T49" i="2" s="1"/>
  <c r="X49" i="2" s="1"/>
  <c r="R52" i="2"/>
  <c r="T52" i="2" s="1"/>
  <c r="X52" i="2" s="1"/>
  <c r="R51" i="2"/>
  <c r="T51" i="2" s="1"/>
  <c r="X51" i="2" s="1"/>
  <c r="Q50" i="2"/>
  <c r="R50" i="2" s="1"/>
  <c r="T50" i="2" l="1"/>
  <c r="X50" i="2" s="1"/>
  <c r="B94" i="3"/>
</calcChain>
</file>

<file path=xl/comments1.xml><?xml version="1.0" encoding="utf-8"?>
<comments xmlns="http://schemas.openxmlformats.org/spreadsheetml/2006/main">
  <authors>
    <author>Elvire Katramiz (Student)</author>
  </authors>
  <commentList>
    <comment ref="U47" authorId="0" shapeId="0">
      <text>
        <r>
          <rPr>
            <b/>
            <sz val="9"/>
            <color indexed="81"/>
            <rFont val="Tahoma"/>
            <charset val="1"/>
          </rPr>
          <t>Elvire Katramiz (Student):</t>
        </r>
        <r>
          <rPr>
            <sz val="9"/>
            <color indexed="81"/>
            <rFont val="Tahoma"/>
            <charset val="1"/>
          </rPr>
          <t xml:space="preserve">
here we consider T out 18</t>
        </r>
      </text>
    </comment>
    <comment ref="AB47" authorId="0" shapeId="0">
      <text>
        <r>
          <rPr>
            <b/>
            <sz val="9"/>
            <color indexed="81"/>
            <rFont val="Tahoma"/>
            <charset val="1"/>
          </rPr>
          <t>Elvire Katramiz (Student):</t>
        </r>
        <r>
          <rPr>
            <sz val="9"/>
            <color indexed="81"/>
            <rFont val="Tahoma"/>
            <charset val="1"/>
          </rPr>
          <t xml:space="preserve">
here we consider T out 18</t>
        </r>
      </text>
    </comment>
  </commentList>
</comments>
</file>

<file path=xl/sharedStrings.xml><?xml version="1.0" encoding="utf-8"?>
<sst xmlns="http://schemas.openxmlformats.org/spreadsheetml/2006/main" count="657" uniqueCount="151">
  <si>
    <t>Energy Conservation Assignment</t>
  </si>
  <si>
    <t>1- Find the peak total sensible load per floor area (W/m2) due to equipment and at peak occupancy.</t>
  </si>
  <si>
    <t>Hour</t>
  </si>
  <si>
    <t>Number of people</t>
  </si>
  <si>
    <t>area of room (m2)</t>
  </si>
  <si>
    <t>height of room (m)</t>
  </si>
  <si>
    <t>load due to people ( w/m2)</t>
  </si>
  <si>
    <t>load due to equipment and lighting (w/m2)</t>
  </si>
  <si>
    <t>load per person (w)</t>
  </si>
  <si>
    <t>load due to equipment and lighting (w)</t>
  </si>
  <si>
    <t>total laod ( w/m2)</t>
  </si>
  <si>
    <t>based on the calculation above, the peak total sensible load per floor area (W/m2) due to equipment and at peak occupancy is occuring at 12 pm and 1 pm and it is equal to :</t>
  </si>
  <si>
    <t xml:space="preserve"> supply air temperature (°C)</t>
  </si>
  <si>
    <t xml:space="preserve">Tc </t>
  </si>
  <si>
    <t>chilled ceiling temperature (°C)</t>
  </si>
  <si>
    <t>Ts</t>
  </si>
  <si>
    <t>load removal ratio</t>
  </si>
  <si>
    <t>stratification height (m)</t>
  </si>
  <si>
    <t xml:space="preserve"> temperature gradient (°C/m)</t>
  </si>
  <si>
    <t>P</t>
  </si>
  <si>
    <t>peak sensible load (w/m2)</t>
  </si>
  <si>
    <t>Qs</t>
  </si>
  <si>
    <t>H</t>
  </si>
  <si>
    <t>Using the design chart of CC/DV system based on the calculated peak sensible load per floor area  ( 80-90 w/m2) and different values of P (flow rate parameter) below, we find the different parameters (chilled ceiling temperature (°C), supply air temperature (°C), load removal ratio, stratification height (m) and temperature gradient (°C/m)).</t>
  </si>
  <si>
    <t>ratio of cooling load to supply mass flow rate P=Qs/m˙s ( kJ/kg)</t>
  </si>
  <si>
    <t>R</t>
  </si>
  <si>
    <t>dT/dZ</t>
  </si>
  <si>
    <t>room area</t>
  </si>
  <si>
    <t>A</t>
  </si>
  <si>
    <t>The following equations are used to assess if the proposed system satisfies thermal comfort and indoor air quality requirements.</t>
  </si>
  <si>
    <t>After satisfying the requirements of comfort ( H&gt; 1m) and indoor air quality (dT/dZ&lt;2.5 oC/m), the energy consumption of the DV and CC system can be found by doing the following:</t>
  </si>
  <si>
    <t>a. Finding the exhaust air temperature Tr (°C) as follows:</t>
  </si>
  <si>
    <t>Tr</t>
  </si>
  <si>
    <t>b- Finding the amount of reheat used from the following energy balance:</t>
  </si>
  <si>
    <t>Qcc</t>
  </si>
  <si>
    <t>Qsdv</t>
  </si>
  <si>
    <t>Qrh</t>
  </si>
  <si>
    <t>c- Finding the new humidity ratio due to the water vapor generated from occupants (Wv (kg water/kg dry air)).</t>
  </si>
  <si>
    <t>Np at peak load is 12</t>
  </si>
  <si>
    <t xml:space="preserve">wp= </t>
  </si>
  <si>
    <t>Wv</t>
  </si>
  <si>
    <t>d- Finding the maximum allowable humidity ratio of air near the ceiling to avoid condensation at the dew point temperature (WR (kg water/kg dry air)).</t>
  </si>
  <si>
    <t>Tdp,min</t>
  </si>
  <si>
    <t>HR (wa, max)</t>
  </si>
  <si>
    <t>e- Finding the maximum allowed supply air humidity ratio (WS (kg water/kg dry air)) based on the new humidity ratio, maximum allowable humidity ratio of air near the ceiling and the supply one.</t>
  </si>
  <si>
    <t>Ws. Max</t>
  </si>
  <si>
    <t>the peak total sensible load per floor area (W/m2)</t>
  </si>
  <si>
    <t>f- Using the balance for water, the mass of water condensate can be determined:</t>
  </si>
  <si>
    <t>m cond</t>
  </si>
  <si>
    <t>g- Finding the cooling coil load from the overall energy balance of the DV system:</t>
  </si>
  <si>
    <t>Qc</t>
  </si>
  <si>
    <t>h- Finding the fan power using the following equation:</t>
  </si>
  <si>
    <t>i. Finding the DV total energy as converted to electrical equivalent as follows:</t>
  </si>
  <si>
    <t>E(w)</t>
  </si>
  <si>
    <t>j- Finding the pump mass flow rate (kg/s) from the equation of chilled ceiling heat removal (Qcc in W):</t>
  </si>
  <si>
    <t>Tw,in</t>
  </si>
  <si>
    <t>Tw,out</t>
  </si>
  <si>
    <t>mw</t>
  </si>
  <si>
    <t>qcc/(cpw*(Twout-Twin))</t>
  </si>
  <si>
    <t>k- Finding the temperature of water exiting the chilled ceiling (Tw,out in °C) from the following equation:</t>
  </si>
  <si>
    <t>Twout</t>
  </si>
  <si>
    <t>l- Finding the input power of the pump Ppump (in W) as follows:</t>
  </si>
  <si>
    <t>Where Hp is the pump head and is equivalent to 4 m, and ηp is the pump efficiency and is</t>
  </si>
  <si>
    <t>equal to 0.8.</t>
  </si>
  <si>
    <t>Ppump</t>
  </si>
  <si>
    <t>fan power P (W)</t>
  </si>
  <si>
    <t>from the calculated figures in the table above, I would select the following three feasible R and P:</t>
  </si>
  <si>
    <t>note that all the three selections satisfy the thermal comfort and stratification height constraints. Out of the three selections, I will select the first one for P = 8 and R = 0.5 as the last has the minimum energy consumption.</t>
  </si>
  <si>
    <t xml:space="preserve"> Tw_out</t>
  </si>
  <si>
    <t>mdot</t>
  </si>
  <si>
    <t>E DV</t>
  </si>
  <si>
    <t>E total</t>
  </si>
  <si>
    <t>Design</t>
  </si>
  <si>
    <t>Tdp</t>
  </si>
  <si>
    <t>i</t>
  </si>
  <si>
    <t>f</t>
  </si>
  <si>
    <t>r</t>
  </si>
  <si>
    <t>CCDV</t>
  </si>
  <si>
    <t>Mixed Mode</t>
  </si>
  <si>
    <t>Mixed-Mode</t>
  </si>
  <si>
    <t>Investment</t>
  </si>
  <si>
    <t>Installation</t>
  </si>
  <si>
    <t>Energy</t>
  </si>
  <si>
    <t>Annual Mantinance</t>
  </si>
  <si>
    <t>Salvage Value</t>
  </si>
  <si>
    <t>rate of electricity price increase</t>
  </si>
  <si>
    <t>Column1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</si>
  <si>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</si>
  <si>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</si>
  <si>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</si>
  <si>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</si>
  <si>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</si>
  <si>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</si>
  <si>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</si>
  <si>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</si>
  <si>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</si>
  <si>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</si>
  <si>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</si>
  <si>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</si>
  <si>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</si>
  <si>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</si>
  <si>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</si>
  <si>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</si>
  <si>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</si>
  <si>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</si>
  <si>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</si>
  <si>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</si>
  <si>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System</t>
  </si>
  <si>
    <t>Costs without interest rate:($)</t>
  </si>
  <si>
    <t>Costs with intest rate:($)</t>
  </si>
  <si>
    <t>NPV($)</t>
  </si>
  <si>
    <t>Previous Energy</t>
  </si>
  <si>
    <t>CER</t>
  </si>
  <si>
    <t>liter of diesel</t>
  </si>
  <si>
    <t>IRR</t>
  </si>
  <si>
    <t>Initial Investment</t>
  </si>
  <si>
    <t>Annual Energy Cost</t>
  </si>
  <si>
    <t>Annual Maintenance Costs</t>
  </si>
  <si>
    <t>CC-DV</t>
  </si>
  <si>
    <t>1000$+900$</t>
  </si>
  <si>
    <t>100$+100$</t>
  </si>
  <si>
    <t>0.84 MWh</t>
  </si>
  <si>
    <t>54$</t>
  </si>
  <si>
    <t>10$</t>
  </si>
  <si>
    <t>1080$</t>
  </si>
  <si>
    <t>1.5 MWh</t>
  </si>
  <si>
    <t>50$</t>
  </si>
  <si>
    <t>10.8$</t>
  </si>
  <si>
    <t>Installation Cost</t>
  </si>
  <si>
    <t>0</t>
  </si>
  <si>
    <t>Benefits without interest rate: ($)</t>
  </si>
  <si>
    <t>Costs without interest rate: ($)</t>
  </si>
  <si>
    <t>Benefits with Interest rate: ($)</t>
  </si>
  <si>
    <t>Costs with interest rate: ($)</t>
  </si>
  <si>
    <t>NPV Benefit</t>
  </si>
  <si>
    <t>NPV Costs</t>
  </si>
  <si>
    <t>B/C Ratio</t>
  </si>
  <si>
    <t>LCOE</t>
  </si>
  <si>
    <t>Full Diesel</t>
  </si>
  <si>
    <t>Half Diesel Half PV</t>
  </si>
  <si>
    <t>840*electricity cost</t>
  </si>
  <si>
    <t>1500*electricity cost</t>
  </si>
  <si>
    <t>Annual cost($)</t>
  </si>
  <si>
    <t>Initial Invest+Installation</t>
  </si>
  <si>
    <t>Cashflow costs for energy</t>
  </si>
  <si>
    <t>NPV costs for energy</t>
  </si>
  <si>
    <t>Annual Energy(KWh)</t>
  </si>
  <si>
    <t>Energy with interest</t>
  </si>
  <si>
    <t>Sum Cost</t>
  </si>
  <si>
    <t>Sum Energy</t>
  </si>
  <si>
    <t>LCOE($/kWh)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</si>
</sst>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71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.5"/>
      <color rgb="FF2A2A2A"/>
      <name val="Segoe UI Semibold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33333"/>
      <name val="Arial"/>
      <family val="2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</patternFill>
    </fill>
    <fill>
      <patternFill patternType="solid">
        <fgColor theme="4"/>
        <bgColor theme="4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/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8" fillId="15" borderId="0" applyNumberFormat="0" applyBorder="0" applyAlignment="0" applyProtection="0"/>
    <xf numFmtId="0" fontId="10" fillId="17" borderId="0" applyNumberFormat="0" applyBorder="0" applyAlignment="0" applyProtection="0"/>
    <xf numFmtId="0" fontId="7" fillId="18" borderId="11" applyNumberFormat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19" borderId="13" applyNumberFormat="0" applyAlignment="0" applyProtection="0"/>
  </cellStyleXfs>
  <cellXfs count="109">
    <xf numFmtId="0" fontId="0" fillId="0" borderId="0" xfId="0"/>
    <xf numFmtId="0" fontId="0" fillId="4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/>
    <xf numFmtId="0" fontId="2" fillId="0" borderId="0" xfId="0" applyFont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6" borderId="0" xfId="0" applyFill="1"/>
    <xf numFmtId="0" fontId="2" fillId="6" borderId="1" xfId="0" applyFont="1" applyFill="1" applyBorder="1" applyAlignment="1">
      <alignment horizontal="center" vertical="center" wrapText="1"/>
    </xf>
    <xf numFmtId="0" fontId="0" fillId="7" borderId="0" xfId="0" applyFill="1"/>
    <xf numFmtId="0" fontId="2" fillId="7" borderId="1" xfId="0" applyFont="1" applyFill="1" applyBorder="1" applyAlignment="1">
      <alignment horizontal="center" vertical="center"/>
    </xf>
    <xf numFmtId="0" fontId="0" fillId="8" borderId="0" xfId="0" applyFill="1"/>
    <xf numFmtId="0" fontId="2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11" borderId="0" xfId="0" applyFill="1"/>
    <xf numFmtId="0" fontId="0" fillId="12" borderId="0" xfId="0" applyFill="1"/>
    <xf numFmtId="0" fontId="2" fillId="11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0" fillId="13" borderId="0" xfId="0" applyFill="1"/>
    <xf numFmtId="0" fontId="0" fillId="10" borderId="0" xfId="0" applyFill="1"/>
    <xf numFmtId="43" fontId="0" fillId="0" borderId="1" xfId="1" applyFont="1" applyBorder="1"/>
    <xf numFmtId="0" fontId="4" fillId="0" borderId="0" xfId="0" applyFont="1"/>
    <xf numFmtId="0" fontId="0" fillId="0" borderId="1" xfId="0" applyBorder="1" applyAlignment="1">
      <alignment horizontal="center"/>
    </xf>
    <xf numFmtId="0" fontId="0" fillId="14" borderId="1" xfId="0" applyFill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/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2" fontId="0" fillId="0" borderId="1" xfId="0" applyNumberFormat="1" applyFont="1" applyBorder="1" applyAlignment="1">
      <alignment horizontal="center" vertical="center"/>
    </xf>
    <xf numFmtId="2" fontId="0" fillId="0" borderId="8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16" borderId="5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43" fontId="0" fillId="0" borderId="1" xfId="1" applyFont="1" applyBorder="1" applyAlignment="1">
      <alignment horizontal="center"/>
    </xf>
    <xf numFmtId="0" fontId="0" fillId="0" borderId="3" xfId="0" applyBorder="1" applyAlignment="1">
      <alignment horizontal="center"/>
    </xf>
    <xf numFmtId="43" fontId="0" fillId="0" borderId="0" xfId="0" applyNumberFormat="1" applyAlignment="1">
      <alignment horizontal="center"/>
    </xf>
    <xf numFmtId="0" fontId="0" fillId="0" borderId="8" xfId="0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8" fillId="15" borderId="0" xfId="2"/>
    <xf numFmtId="0" fontId="0" fillId="0" borderId="1" xfId="0" applyBorder="1" applyAlignment="1">
      <alignment horizontal="center"/>
    </xf>
    <xf numFmtId="0" fontId="9" fillId="0" borderId="0" xfId="0" applyFont="1" applyAlignment="1">
      <alignment horizontal="center"/>
    </xf>
    <xf numFmtId="9" fontId="0" fillId="0" borderId="0" xfId="0" applyNumberFormat="1"/>
    <xf numFmtId="0" fontId="0" fillId="0" borderId="7" xfId="0" applyBorder="1"/>
    <xf numFmtId="0" fontId="0" fillId="0" borderId="4" xfId="0" applyBorder="1"/>
    <xf numFmtId="0" fontId="0" fillId="0" borderId="0" xfId="0" applyNumberFormat="1"/>
    <xf numFmtId="0" fontId="7" fillId="18" borderId="11" xfId="4"/>
    <xf numFmtId="0" fontId="7" fillId="18" borderId="12" xfId="4" applyBorder="1"/>
    <xf numFmtId="0" fontId="0" fillId="0" borderId="2" xfId="0" applyBorder="1"/>
    <xf numFmtId="0" fontId="10" fillId="17" borderId="1" xfId="3" applyBorder="1"/>
    <xf numFmtId="9" fontId="10" fillId="17" borderId="1" xfId="3" applyNumberFormat="1" applyBorder="1"/>
    <xf numFmtId="44" fontId="0" fillId="0" borderId="0" xfId="5" applyFont="1"/>
    <xf numFmtId="0" fontId="0" fillId="0" borderId="0" xfId="5" applyNumberFormat="1" applyFont="1"/>
    <xf numFmtId="0" fontId="0" fillId="10" borderId="0" xfId="0" applyFill="1" applyAlignment="1">
      <alignment horizontal="left" vertical="center" wrapText="1"/>
    </xf>
    <xf numFmtId="0" fontId="0" fillId="3" borderId="0" xfId="0" applyFill="1" applyAlignment="1">
      <alignment horizontal="left" wrapText="1"/>
    </xf>
    <xf numFmtId="0" fontId="0" fillId="9" borderId="0" xfId="0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7" fillId="16" borderId="14" xfId="0" applyFont="1" applyFill="1" applyBorder="1"/>
    <xf numFmtId="0" fontId="7" fillId="16" borderId="16" xfId="0" applyFont="1" applyFill="1" applyBorder="1"/>
    <xf numFmtId="44" fontId="0" fillId="0" borderId="0" xfId="0" applyNumberFormat="1"/>
    <xf numFmtId="2" fontId="0" fillId="0" borderId="0" xfId="0" applyNumberFormat="1"/>
    <xf numFmtId="2" fontId="0" fillId="0" borderId="1" xfId="5" applyNumberFormat="1" applyFont="1" applyBorder="1"/>
    <xf numFmtId="2" fontId="0" fillId="0" borderId="8" xfId="5" applyNumberFormat="1" applyFont="1" applyBorder="1"/>
    <xf numFmtId="2" fontId="0" fillId="0" borderId="0" xfId="5" applyNumberFormat="1" applyFont="1"/>
    <xf numFmtId="0" fontId="0" fillId="0" borderId="15" xfId="0" applyFont="1" applyBorder="1"/>
    <xf numFmtId="49" fontId="0" fillId="0" borderId="5" xfId="0" applyNumberFormat="1" applyBorder="1"/>
    <xf numFmtId="2" fontId="10" fillId="17" borderId="1" xfId="3" applyNumberFormat="1" applyBorder="1"/>
    <xf numFmtId="0" fontId="0" fillId="0" borderId="14" xfId="0" applyFont="1" applyBorder="1"/>
    <xf numFmtId="0" fontId="7" fillId="16" borderId="0" xfId="0" applyFont="1" applyFill="1" applyBorder="1"/>
    <xf numFmtId="0" fontId="7" fillId="16" borderId="17" xfId="0" applyFont="1" applyFill="1" applyBorder="1"/>
    <xf numFmtId="171" fontId="0" fillId="0" borderId="0" xfId="0" applyNumberFormat="1"/>
    <xf numFmtId="0" fontId="7" fillId="18" borderId="1" xfId="4" applyBorder="1"/>
    <xf numFmtId="0" fontId="11" fillId="19" borderId="1" xfId="7" applyBorder="1"/>
    <xf numFmtId="49" fontId="0" fillId="0" borderId="6" xfId="0" applyNumberFormat="1" applyBorder="1"/>
    <xf numFmtId="41" fontId="0" fillId="0" borderId="5" xfId="6" applyFont="1" applyBorder="1"/>
    <xf numFmtId="0" fontId="0" fillId="0" borderId="0" xfId="0" applyFill="1"/>
  </cellXfs>
  <cellStyles count="8">
    <cellStyle name="Accent5" xfId="2" builtinId="45"/>
    <cellStyle name="Check Cell" xfId="4" builtinId="23"/>
    <cellStyle name="Comma" xfId="1" builtinId="3"/>
    <cellStyle name="Comma [0]" xfId="6" builtinId="6"/>
    <cellStyle name="Currency" xfId="5" builtinId="4"/>
    <cellStyle name="Input" xfId="7" builtinId="20"/>
    <cellStyle name="Neutral" xfId="3" builtinId="28"/>
    <cellStyle name="Normal" xfId="0" builtinId="0"/>
  </cellStyles>
  <dxfs count="3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right style="thin">
          <color indexed="64"/>
        </right>
      </border>
    </dxf>
    <dxf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/>
        <right/>
        <top style="thin">
          <color theme="4"/>
        </top>
        <bottom/>
      </border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/>
        <right/>
        <top style="thin">
          <color theme="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border outline="0">
        <left style="thin">
          <color theme="4"/>
        </left>
        <top style="thin">
          <color theme="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border outline="0">
        <left style="thin">
          <color theme="4"/>
        </left>
        <top style="thin">
          <color theme="4"/>
        </top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35" formatCode="_(* #,##0.00_);_(* \(#,##0.00\);_(* &quot;-&quot;??_);_(@_)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273050</xdr:colOff>
      <xdr:row>4</xdr:row>
      <xdr:rowOff>64558</xdr:rowOff>
    </xdr:from>
    <xdr:to>
      <xdr:col>18</xdr:col>
      <xdr:colOff>426192</xdr:colOff>
      <xdr:row>24</xdr:row>
      <xdr:rowOff>26458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3467" y="826558"/>
          <a:ext cx="7113058" cy="47349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14</xdr:row>
      <xdr:rowOff>131714</xdr:rowOff>
    </xdr:from>
    <xdr:to>
      <xdr:col>5</xdr:col>
      <xdr:colOff>287867</xdr:colOff>
      <xdr:row>15</xdr:row>
      <xdr:rowOff>133349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3036839"/>
          <a:ext cx="3181350" cy="3254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151064</xdr:colOff>
      <xdr:row>15</xdr:row>
      <xdr:rowOff>182742</xdr:rowOff>
    </xdr:from>
    <xdr:to>
      <xdr:col>7</xdr:col>
      <xdr:colOff>427289</xdr:colOff>
      <xdr:row>17</xdr:row>
      <xdr:rowOff>20441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6041" y="3877018"/>
          <a:ext cx="276225" cy="2115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154707</xdr:rowOff>
    </xdr:from>
    <xdr:to>
      <xdr:col>6</xdr:col>
      <xdr:colOff>249766</xdr:colOff>
      <xdr:row>18</xdr:row>
      <xdr:rowOff>9524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1332"/>
          <a:ext cx="3848100" cy="2358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28575</xdr:colOff>
      <xdr:row>18</xdr:row>
      <xdr:rowOff>49162</xdr:rowOff>
    </xdr:from>
    <xdr:to>
      <xdr:col>5</xdr:col>
      <xdr:colOff>596900</xdr:colOff>
      <xdr:row>19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3906787"/>
          <a:ext cx="3552825" cy="293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</xdr:colOff>
      <xdr:row>33</xdr:row>
      <xdr:rowOff>76201</xdr:rowOff>
    </xdr:from>
    <xdr:to>
      <xdr:col>6</xdr:col>
      <xdr:colOff>306916</xdr:colOff>
      <xdr:row>33</xdr:row>
      <xdr:rowOff>351499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7200901"/>
          <a:ext cx="3895725" cy="2752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66676</xdr:colOff>
      <xdr:row>43</xdr:row>
      <xdr:rowOff>76201</xdr:rowOff>
    </xdr:from>
    <xdr:to>
      <xdr:col>11</xdr:col>
      <xdr:colOff>466725</xdr:colOff>
      <xdr:row>43</xdr:row>
      <xdr:rowOff>373487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6" y="9324976"/>
          <a:ext cx="1009650" cy="2972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152400</xdr:colOff>
      <xdr:row>44</xdr:row>
      <xdr:rowOff>38100</xdr:rowOff>
    </xdr:from>
    <xdr:to>
      <xdr:col>11</xdr:col>
      <xdr:colOff>186795</xdr:colOff>
      <xdr:row>45</xdr:row>
      <xdr:rowOff>94449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0" y="9820275"/>
          <a:ext cx="3095625" cy="246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180975</xdr:colOff>
      <xdr:row>55</xdr:row>
      <xdr:rowOff>85726</xdr:rowOff>
    </xdr:from>
    <xdr:to>
      <xdr:col>3</xdr:col>
      <xdr:colOff>209549</xdr:colOff>
      <xdr:row>55</xdr:row>
      <xdr:rowOff>339902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1963401"/>
          <a:ext cx="1247775" cy="254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</xdr:colOff>
      <xdr:row>59</xdr:row>
      <xdr:rowOff>85725</xdr:rowOff>
    </xdr:from>
    <xdr:to>
      <xdr:col>6</xdr:col>
      <xdr:colOff>268816</xdr:colOff>
      <xdr:row>60</xdr:row>
      <xdr:rowOff>176999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13115925"/>
          <a:ext cx="3857625" cy="2817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597494</xdr:colOff>
      <xdr:row>59</xdr:row>
      <xdr:rowOff>72461</xdr:rowOff>
    </xdr:from>
    <xdr:to>
      <xdr:col>12</xdr:col>
      <xdr:colOff>340888</xdr:colOff>
      <xdr:row>60</xdr:row>
      <xdr:rowOff>156505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471" y="13505382"/>
          <a:ext cx="2783258" cy="2709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85726</xdr:colOff>
      <xdr:row>64</xdr:row>
      <xdr:rowOff>19051</xdr:rowOff>
    </xdr:from>
    <xdr:to>
      <xdr:col>4</xdr:col>
      <xdr:colOff>418043</xdr:colOff>
      <xdr:row>65</xdr:row>
      <xdr:rowOff>92636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6" y="14239876"/>
          <a:ext cx="2705100" cy="2640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133350</xdr:colOff>
      <xdr:row>67</xdr:row>
      <xdr:rowOff>76200</xdr:rowOff>
    </xdr:from>
    <xdr:to>
      <xdr:col>5</xdr:col>
      <xdr:colOff>278342</xdr:colOff>
      <xdr:row>67</xdr:row>
      <xdr:rowOff>479293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4868525"/>
          <a:ext cx="3133725" cy="4030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57150</xdr:colOff>
      <xdr:row>68</xdr:row>
      <xdr:rowOff>47625</xdr:rowOff>
    </xdr:from>
    <xdr:to>
      <xdr:col>5</xdr:col>
      <xdr:colOff>221192</xdr:colOff>
      <xdr:row>69</xdr:row>
      <xdr:rowOff>142443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5392400"/>
          <a:ext cx="3152775" cy="2853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47625</xdr:colOff>
      <xdr:row>74</xdr:row>
      <xdr:rowOff>133350</xdr:rowOff>
    </xdr:from>
    <xdr:to>
      <xdr:col>6</xdr:col>
      <xdr:colOff>240241</xdr:colOff>
      <xdr:row>76</xdr:row>
      <xdr:rowOff>2937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6621125"/>
          <a:ext cx="3790950" cy="2391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153349</xdr:colOff>
      <xdr:row>74</xdr:row>
      <xdr:rowOff>89424</xdr:rowOff>
    </xdr:from>
    <xdr:to>
      <xdr:col>13</xdr:col>
      <xdr:colOff>408408</xdr:colOff>
      <xdr:row>75</xdr:row>
      <xdr:rowOff>114446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4377" y="16706246"/>
          <a:ext cx="4134295" cy="2089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78</xdr:row>
      <xdr:rowOff>123825</xdr:rowOff>
    </xdr:from>
    <xdr:to>
      <xdr:col>3</xdr:col>
      <xdr:colOff>266699</xdr:colOff>
      <xdr:row>81</xdr:row>
      <xdr:rowOff>30925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7373600"/>
          <a:ext cx="1390650" cy="47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</xdr:row>
      <xdr:rowOff>57150</xdr:rowOff>
    </xdr:from>
    <xdr:to>
      <xdr:col>4</xdr:col>
      <xdr:colOff>170392</xdr:colOff>
      <xdr:row>84</xdr:row>
      <xdr:rowOff>101043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49925"/>
          <a:ext cx="2543175" cy="2343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21167</xdr:colOff>
      <xdr:row>87</xdr:row>
      <xdr:rowOff>21168</xdr:rowOff>
    </xdr:from>
    <xdr:to>
      <xdr:col>3</xdr:col>
      <xdr:colOff>331969</xdr:colOff>
      <xdr:row>88</xdr:row>
      <xdr:rowOff>148168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67" y="19177001"/>
          <a:ext cx="153847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219677</xdr:colOff>
      <xdr:row>63</xdr:row>
      <xdr:rowOff>10585</xdr:rowOff>
    </xdr:from>
    <xdr:to>
      <xdr:col>18</xdr:col>
      <xdr:colOff>456428</xdr:colOff>
      <xdr:row>74</xdr:row>
      <xdr:rowOff>68966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7013" y="14235772"/>
          <a:ext cx="5512731" cy="24500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63500</xdr:colOff>
      <xdr:row>92</xdr:row>
      <xdr:rowOff>31753</xdr:rowOff>
    </xdr:from>
    <xdr:to>
      <xdr:col>2</xdr:col>
      <xdr:colOff>529168</xdr:colOff>
      <xdr:row>94</xdr:row>
      <xdr:rowOff>126954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" y="20140086"/>
          <a:ext cx="1079501" cy="4762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63499</xdr:colOff>
      <xdr:row>99</xdr:row>
      <xdr:rowOff>31752</xdr:rowOff>
    </xdr:from>
    <xdr:to>
      <xdr:col>2</xdr:col>
      <xdr:colOff>441697</xdr:colOff>
      <xdr:row>101</xdr:row>
      <xdr:rowOff>105835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99" y="21473585"/>
          <a:ext cx="992031" cy="455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132291</xdr:colOff>
      <xdr:row>105</xdr:row>
      <xdr:rowOff>182752</xdr:rowOff>
    </xdr:from>
    <xdr:ext cx="276225" cy="211577"/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124" y="22767585"/>
          <a:ext cx="276225" cy="2115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132291</xdr:colOff>
      <xdr:row>113</xdr:row>
      <xdr:rowOff>140419</xdr:rowOff>
    </xdr:from>
    <xdr:ext cx="276225" cy="211577"/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124" y="10300419"/>
          <a:ext cx="276225" cy="2115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402165</xdr:colOff>
      <xdr:row>40</xdr:row>
      <xdr:rowOff>74082</xdr:rowOff>
    </xdr:from>
    <xdr:to>
      <xdr:col>28</xdr:col>
      <xdr:colOff>507999</xdr:colOff>
      <xdr:row>44</xdr:row>
      <xdr:rowOff>179916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0562165" y="8752415"/>
          <a:ext cx="7651751" cy="12065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T out should be higher than T in</a:t>
          </a:r>
        </a:p>
        <a:p>
          <a:r>
            <a:rPr lang="en-US" sz="1100" b="1"/>
            <a:t>so here we are getting T in</a:t>
          </a:r>
          <a:r>
            <a:rPr lang="en-US" sz="1100" b="1" baseline="0"/>
            <a:t> (in cell T45)</a:t>
          </a:r>
          <a:endParaRPr lang="en-US" sz="1100" b="1"/>
        </a:p>
        <a:p>
          <a:r>
            <a:rPr lang="en-US" sz="1100" b="1"/>
            <a:t>and we fixed T out at 18</a:t>
          </a:r>
        </a:p>
        <a:p>
          <a:endParaRPr lang="en-US" sz="1100" b="1"/>
        </a:p>
        <a:p>
          <a:r>
            <a:rPr lang="en-US" sz="1100" b="1"/>
            <a:t>Since Tc = (Tin+Tout )/2, and we</a:t>
          </a:r>
          <a:r>
            <a:rPr lang="en-US" sz="1100" b="1" baseline="0"/>
            <a:t> have Tout=18 and Tin &lt; Tout indeed --&gt; so TC</a:t>
          </a:r>
          <a:r>
            <a:rPr lang="en-US" sz="1100" b="1"/>
            <a:t> is  lower than 18 (between</a:t>
          </a:r>
          <a:r>
            <a:rPr lang="en-US" sz="1100" b="1" baseline="0"/>
            <a:t> T in and T out)</a:t>
          </a:r>
          <a:endParaRPr lang="en-US" sz="1100" b="1"/>
        </a:p>
        <a:p>
          <a:r>
            <a:rPr lang="en-US" sz="1100" b="1"/>
            <a:t>and m_W = Q/cp(Tout-Tin)=Q/cp(18-Tin)</a:t>
          </a:r>
          <a:endParaRPr lang="en-US" sz="1100" b="1" i="1"/>
        </a:p>
      </xdr:txBody>
    </xdr:sp>
    <xdr:clientData/>
  </xdr:twoCellAnchor>
  <xdr:twoCellAnchor>
    <xdr:from>
      <xdr:col>20</xdr:col>
      <xdr:colOff>317500</xdr:colOff>
      <xdr:row>44</xdr:row>
      <xdr:rowOff>137583</xdr:rowOff>
    </xdr:from>
    <xdr:to>
      <xdr:col>20</xdr:col>
      <xdr:colOff>328083</xdr:colOff>
      <xdr:row>46</xdr:row>
      <xdr:rowOff>95250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 flipH="1" flipV="1">
          <a:off x="12911667" y="9916583"/>
          <a:ext cx="10583" cy="338667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73</xdr:row>
          <xdr:rowOff>0</xdr:rowOff>
        </xdr:from>
        <xdr:to>
          <xdr:col>5</xdr:col>
          <xdr:colOff>304800</xdr:colOff>
          <xdr:row>74</xdr:row>
          <xdr:rowOff>47625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1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0</xdr:colOff>
      <xdr:row>43</xdr:row>
      <xdr:rowOff>0</xdr:rowOff>
    </xdr:from>
    <xdr:to>
      <xdr:col>9</xdr:col>
      <xdr:colOff>316214</xdr:colOff>
      <xdr:row>43</xdr:row>
      <xdr:rowOff>274947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Object 4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 txBox="1"/>
          </xdr:nvSpPr>
          <xdr:spPr>
            <a:xfrm>
              <a:off x="3629602" y="9510568"/>
              <a:ext cx="2134623" cy="274947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𝑆</m:t>
                        </m:r>
                      </m:sub>
                    </m:sSub>
                    <m:sSub>
                      <m:sSubPr>
                        <m:ctrlP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𝑝𝑎</m:t>
                        </m:r>
                      </m:sub>
                    </m:sSub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𝑆</m:t>
                        </m:r>
                      </m:sub>
                    </m:sSub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𝑅</m:t>
                        </m:r>
                      </m:sub>
                    </m:sSub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)+</m:t>
                    </m:r>
                    <m:sSub>
                      <m:sSubPr>
                        <m:ctrlP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𝑄</m:t>
                        </m:r>
                      </m:e>
                      <m:sub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𝑆</m:t>
                        </m:r>
                      </m:sub>
                    </m:sSub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𝑄</m:t>
                        </m:r>
                      </m:e>
                      <m:sub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𝐶𝐶</m:t>
                        </m:r>
                      </m:sub>
                    </m:sSub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=0</m:t>
                    </m:r>
                  </m:oMath>
                </m:oMathPara>
              </a14:m>
              <a:endParaRPr lang="en-US"/>
            </a:p>
          </xdr:txBody>
        </xdr:sp>
      </mc:Choice>
      <mc:Fallback xmlns="">
        <xdr:sp macro="" textlink="">
          <xdr:nvSpPr>
            <xdr:cNvPr id="5" name="Object 4">
              <a:extLst>
                <a:ext uri="{63B3BB69-23CF-44E3-9099-C40C66FF867C}">
                  <a14:compatExt xmlns:a14="http://schemas.microsoft.com/office/drawing/2010/main" spid="_x0000_s1028"/>
                </a:ext>
                <a:ext uri="{FF2B5EF4-FFF2-40B4-BE49-F238E27FC236}">
                  <a16:creationId xmlns:a16="http://schemas.microsoft.com/office/drawing/2014/main" id="{00000000-0008-0000-0100-000004040000}"/>
                </a:ext>
              </a:extLst>
            </xdr:cNvPr>
            <xdr:cNvSpPr txBox="1"/>
          </xdr:nvSpPr>
          <xdr:spPr>
            <a:xfrm>
              <a:off x="3629602" y="9510568"/>
              <a:ext cx="2134623" cy="274947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n-US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𝑚_𝑆 𝑐_𝑝𝑎 (𝑇_𝑆−𝑇_𝑅)+𝑄_𝑆−𝑄_𝐶𝐶=0</a:t>
              </a:r>
              <a:endParaRPr lang="en-US"/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id="2" name="Table2" displayName="Table2" ref="C21:I27" totalsRowShown="0" headerRowDxfId="322" dataDxfId="320" headerRowBorderDxfId="321" tableBorderDxfId="319" totalsRowBorderDxfId="318">
  <autoFilter ref="C21:I27"/>
  <tableColumns count="7">
    <tableColumn id="1" name="P" dataDxfId="317"/>
    <tableColumn id="2" name="mdot" dataDxfId="316">
      <calculatedColumnFormula>$G$6/1000*$G$5/C22</calculatedColumnFormula>
    </tableColumn>
    <tableColumn id="3" name="Tc " dataDxfId="315"/>
    <tableColumn id="4" name="Ts" dataDxfId="314"/>
    <tableColumn id="5" name="R" dataDxfId="313"/>
    <tableColumn id="6" name="H" dataDxfId="312">
      <calculatedColumnFormula>0.017*E22+0.034*F22-0.036*C22+0.007*$G$6-0.084*G22+0.374</calculatedColumnFormula>
    </tableColumn>
    <tableColumn id="7" name="dT/dZ" dataDxfId="311">
      <calculatedColumnFormula>-0.136*E22-0.008*F22+0.052*C22+0.006*$G$6-0.213*G22+2.946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B35:F41" totalsRowShown="0" tableBorderDxfId="310" totalsRowBorderDxfId="309" headerRowCellStyle="Accent5">
  <autoFilter ref="B35:F41"/>
  <tableColumns count="5">
    <tableColumn id="1" name="P" dataDxfId="308"/>
    <tableColumn id="2" name="mdot" dataDxfId="307">
      <calculatedColumnFormula>$G$6/1000*$G$5/B36</calculatedColumnFormula>
    </tableColumn>
    <tableColumn id="3" name="Ts" dataDxfId="306"/>
    <tableColumn id="4" name="dT/dZ" dataDxfId="305">
      <calculatedColumnFormula>I22</calculatedColumnFormula>
    </tableColumn>
    <tableColumn id="5" name="Tr" dataDxfId="304">
      <calculatedColumnFormula>D36+E36*3*3/(4)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B47:X53" totalsRowShown="0" headerRowDxfId="303" dataDxfId="301" headerRowBorderDxfId="302" tableBorderDxfId="300" totalsRowBorderDxfId="299">
  <autoFilter ref="B47:X53"/>
  <tableColumns count="23">
    <tableColumn id="1" name="P" dataDxfId="298"/>
    <tableColumn id="2" name="mdot" dataDxfId="297">
      <calculatedColumnFormula>$G$6/1000*$G$5/B48</calculatedColumnFormula>
    </tableColumn>
    <tableColumn id="3" name="Tc " dataDxfId="296"/>
    <tableColumn id="4" name="Ts" dataDxfId="295"/>
    <tableColumn id="5" name="R" dataDxfId="294"/>
    <tableColumn id="6" name="H" dataDxfId="293">
      <calculatedColumnFormula>0.017*D48+0.034*E48-0.036*B48+0.007*$G$6-0.084*F48+0.374</calculatedColumnFormula>
    </tableColumn>
    <tableColumn id="7" name="dT/dZ" dataDxfId="292">
      <calculatedColumnFormula>-0.136*D48-0.008*E48+0.052*B48+0.006*$G$6-0.213*F48+2.946</calculatedColumnFormula>
    </tableColumn>
    <tableColumn id="8" name="Qcc" dataDxfId="291">
      <calculatedColumnFormula>F48*$G$6*$G$5</calculatedColumnFormula>
    </tableColumn>
    <tableColumn id="9" name="Qsdv" dataDxfId="290">
      <calculatedColumnFormula>I48*(1/F48-1)</calculatedColumnFormula>
    </tableColumn>
    <tableColumn id="10" name="Qrh" dataDxfId="289">
      <calculatedColumnFormula>C48*1000*(E48-Table1[[#This Row],[Tdp]])</calculatedColumnFormula>
    </tableColumn>
    <tableColumn id="11" name="Wv" dataDxfId="288">
      <calculatedColumnFormula>12*Design!$F$57/Design!C48</calculatedColumnFormula>
    </tableColumn>
    <tableColumn id="12" name="Tdp,min" dataDxfId="287">
      <calculatedColumnFormula>D48-1.5</calculatedColumnFormula>
    </tableColumn>
    <tableColumn id="13" name="HR (wa, max)" dataDxfId="286">
      <calculatedColumnFormula>EXP((17.625*M48)/(243.04+M48))/EXP((17.625*F36)/(243.04+F36))/100</calculatedColumnFormula>
    </tableColumn>
    <tableColumn id="23" name="Tdp" dataDxfId="285"/>
    <tableColumn id="14" name="Ws. Max" dataDxfId="284">
      <calculatedColumnFormula>Table1[[#This Row],[HR (wa, max)]]-12*$F$57/C48</calculatedColumnFormula>
    </tableColumn>
    <tableColumn id="15" name="m cond" dataDxfId="283">
      <calculatedColumnFormula>C48*(0.01622-N48)+L48*C48</calculatedColumnFormula>
    </tableColumn>
    <tableColumn id="16" name="Qc" dataDxfId="282">
      <calculatedColumnFormula>J48+K48+Q48*2257+C48*1005*(30.7-E48)</calculatedColumnFormula>
    </tableColumn>
    <tableColumn id="17" name="fan power P (W)" dataDxfId="281" dataCellStyle="Comma">
      <calculatedColumnFormula>C48*1500/(0.5*1)</calculatedColumnFormula>
    </tableColumn>
    <tableColumn id="18" name="E DV" dataDxfId="280" dataCellStyle="Comma">
      <calculatedColumnFormula>S48+0.33*K48+0.5*R48</calculatedColumnFormula>
    </tableColumn>
    <tableColumn id="19" name="mw" dataDxfId="279">
      <calculatedColumnFormula>I48/(4200*(V48-15))</calculatedColumnFormula>
    </tableColumn>
    <tableColumn id="20" name=" Tw_out" dataDxfId="278">
      <calculatedColumnFormula>2*D48-15</calculatedColumnFormula>
    </tableColumn>
    <tableColumn id="21" name="Ppump" dataDxfId="277">
      <calculatedColumnFormula>U48*9.81*4/0.8</calculatedColumnFormula>
    </tableColumn>
    <tableColumn id="22" name="E total" dataDxfId="276">
      <calculatedColumnFormula>Table1[[#This Row],[Ppump]]+Table1[[#This Row],[E DV]]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7:A53" totalsRowShown="0" headerRowDxfId="275" dataDxfId="274">
  <autoFilter ref="A47:A53"/>
  <tableColumns count="1">
    <tableColumn id="1" name="Design" dataDxfId="273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id="5" name="Table46" displayName="Table46" ref="A35:A41" totalsRowShown="0" headerRowDxfId="272" dataDxfId="271">
  <autoFilter ref="A35:A41"/>
  <tableColumns count="1">
    <tableColumn id="1" name="Design" dataDxfId="270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5:V17" totalsRowShown="0" headerRowDxfId="249" headerRowBorderDxfId="247" tableBorderDxfId="248" totalsRowBorderDxfId="246">
  <autoFilter ref="A15:V17"/>
  <tableColumns count="22">
    <tableColumn id="1" name="System" dataDxfId="245"/>
    <tableColumn id="2" name="0" dataDxfId="244" dataCellStyle="Currency">
      <calculatedColumnFormula>-B2-C2</calculatedColumnFormula>
    </tableColumn>
    <tableColumn id="3" name="1" dataDxfId="135" dataCellStyle="Currency">
      <calculatedColumnFormula>0.168*($G2-$D2)*(1+$B$9)^(Table6[[#Headers],[1]]-1)-$E2</calculatedColumnFormula>
    </tableColumn>
    <tableColumn id="4" name="2" dataDxfId="243" dataCellStyle="Currency">
      <calculatedColumnFormula>($G2-$D2)*(1+$B9)^(D15-2)+$E2</calculatedColumnFormula>
    </tableColumn>
    <tableColumn id="5" name="3" dataDxfId="242" dataCellStyle="Currency">
      <calculatedColumnFormula>($G2-$D2)*(1+$B9)^(E15-2)+$E2</calculatedColumnFormula>
    </tableColumn>
    <tableColumn id="6" name="4" dataDxfId="241" dataCellStyle="Currency">
      <calculatedColumnFormula>($G2-$D2)*(1+$B9)^(F15-2)+$E2</calculatedColumnFormula>
    </tableColumn>
    <tableColumn id="7" name="5" dataDxfId="240" dataCellStyle="Currency">
      <calculatedColumnFormula>($G2-$D2)*(1+$B9)^(G15-2)+$E2</calculatedColumnFormula>
    </tableColumn>
    <tableColumn id="8" name="6" dataDxfId="239" dataCellStyle="Currency">
      <calculatedColumnFormula>($G2-$D2)*(1+$B9)^(H15-2)+$E2</calculatedColumnFormula>
    </tableColumn>
    <tableColumn id="9" name="7" dataDxfId="238" dataCellStyle="Currency">
      <calculatedColumnFormula>($G2-$D2)*(1+$B9)^(I15-2)+$E2</calculatedColumnFormula>
    </tableColumn>
    <tableColumn id="10" name="8" dataDxfId="237" dataCellStyle="Currency">
      <calculatedColumnFormula>($G2-$D2)*(1+$B9)^(J15-2)+$E2</calculatedColumnFormula>
    </tableColumn>
    <tableColumn id="11" name="9" dataDxfId="236" dataCellStyle="Currency">
      <calculatedColumnFormula>($G2-$D2)*(1+$B9)^(K15-2)+$E2</calculatedColumnFormula>
    </tableColumn>
    <tableColumn id="12" name="10" dataDxfId="235" dataCellStyle="Currency">
      <calculatedColumnFormula>($G2-$D2)*(1+$B9)^(L15-2)+$E2</calculatedColumnFormula>
    </tableColumn>
    <tableColumn id="13" name="11" dataDxfId="234" dataCellStyle="Currency">
      <calculatedColumnFormula>($G2-$D2)*(1+$B9)^(M15-2)+$E2</calculatedColumnFormula>
    </tableColumn>
    <tableColumn id="14" name="12" dataDxfId="233" dataCellStyle="Currency">
      <calculatedColumnFormula>($G2-$D2)*(1+$B9)^(N15-2)+$E2</calculatedColumnFormula>
    </tableColumn>
    <tableColumn id="15" name="13" dataDxfId="232" dataCellStyle="Currency">
      <calculatedColumnFormula>($G2-$D2)*(1+$B9)^(O15-2)+$E2</calculatedColumnFormula>
    </tableColumn>
    <tableColumn id="16" name="14" dataDxfId="231" dataCellStyle="Currency">
      <calculatedColumnFormula>($G2-$D2)*(1+$B9)^(P15-2)+$E2</calculatedColumnFormula>
    </tableColumn>
    <tableColumn id="17" name="15" dataDxfId="230" dataCellStyle="Currency">
      <calculatedColumnFormula>($G2-$D2)*(1+$B9)^(Q15-2)+$E2</calculatedColumnFormula>
    </tableColumn>
    <tableColumn id="18" name="16" dataDxfId="229" dataCellStyle="Currency">
      <calculatedColumnFormula>($G2-$D2)*(1+$B9)^(R15-2)+$E2</calculatedColumnFormula>
    </tableColumn>
    <tableColumn id="19" name="17" dataDxfId="228" dataCellStyle="Currency">
      <calculatedColumnFormula>($G2-$D2)*(1+$B9)^(S15-2)+$E2</calculatedColumnFormula>
    </tableColumn>
    <tableColumn id="20" name="18" dataDxfId="227" dataCellStyle="Currency">
      <calculatedColumnFormula>($G2-$D2)*(1+$B9)^(T15-2)+$E2</calculatedColumnFormula>
    </tableColumn>
    <tableColumn id="21" name="19" dataDxfId="226" dataCellStyle="Currency">
      <calculatedColumnFormula>($G2-$D2)*(1+$B$9)^(Table6[[#Headers],[19]]-2)-$E2+F2</calculatedColumnFormula>
    </tableColumn>
    <tableColumn id="22" name="20" dataDxfId="225" dataCellStyle="Currency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22:V24" totalsRowShown="0">
  <autoFilter ref="A22:V24"/>
  <tableColumns count="22">
    <tableColumn id="1" name="System"/>
    <tableColumn id="2" name="0" dataDxfId="222" dataCellStyle="Currency">
      <calculatedColumnFormula>B16*(1+$B111)^(B22)</calculatedColumnFormula>
    </tableColumn>
    <tableColumn id="3" name="1" dataDxfId="223" dataCellStyle="Currency">
      <calculatedColumnFormula>C16*(1+$B12)^(C22)</calculatedColumnFormula>
    </tableColumn>
    <tableColumn id="4" name="2" dataDxfId="267" dataCellStyle="Currency"/>
    <tableColumn id="5" name="3" dataDxfId="266" dataCellStyle="Currency"/>
    <tableColumn id="6" name="4" dataDxfId="265" dataCellStyle="Currency"/>
    <tableColumn id="7" name="5" dataDxfId="264" dataCellStyle="Currency"/>
    <tableColumn id="8" name="6" dataDxfId="263" dataCellStyle="Currency"/>
    <tableColumn id="9" name="7" dataDxfId="262" dataCellStyle="Currency"/>
    <tableColumn id="10" name="8" dataDxfId="261" dataCellStyle="Currency"/>
    <tableColumn id="11" name="9" dataDxfId="260" dataCellStyle="Currency"/>
    <tableColumn id="12" name="10" dataDxfId="259" dataCellStyle="Currency"/>
    <tableColumn id="13" name="11" dataDxfId="258" dataCellStyle="Currency"/>
    <tableColumn id="14" name="12" dataDxfId="257" dataCellStyle="Currency"/>
    <tableColumn id="15" name="13" dataDxfId="256" dataCellStyle="Currency"/>
    <tableColumn id="16" name="14" dataDxfId="255" dataCellStyle="Currency"/>
    <tableColumn id="17" name="15" dataDxfId="254" dataCellStyle="Currency"/>
    <tableColumn id="18" name="16" dataDxfId="253" dataCellStyle="Currency"/>
    <tableColumn id="19" name="17" dataDxfId="252" dataCellStyle="Currency"/>
    <tableColumn id="20" name="18" dataDxfId="251" dataCellStyle="Currency"/>
    <tableColumn id="21" name="19" dataDxfId="250" dataCellStyle="Currency"/>
    <tableColumn id="22" name="20" dataDxfId="224" dataCellStyle="Currency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G3" totalsRowShown="0">
  <autoFilter ref="A1:G3"/>
  <tableColumns count="7">
    <tableColumn id="1" name="Column1"/>
    <tableColumn id="2" name="Investment" dataCellStyle="Currency"/>
    <tableColumn id="3" name="Installation" dataCellStyle="Currency"/>
    <tableColumn id="4" name="Energy"/>
    <tableColumn id="5" name="Annual Mantinance" dataCellStyle="Currency"/>
    <tableColumn id="6" name="Salvage Value" dataCellStyle="Currency"/>
    <tableColumn id="7" name="Previous Energy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H1:H3" totalsRowShown="0" dataDxfId="269" dataCellStyle="Currency">
  <autoFilter ref="H1:H3"/>
  <tableColumns count="1">
    <tableColumn id="1" name="liter of diesel" dataDxfId="268" dataCellStyle="Currency">
      <calculatedColumnFormula>Table8[[#This Row],[Energy]]*0.4</calculatedColumnFormula>
    </tableColumn>
  </tableColumns>
  <tableStyleInfo name="TableStyleLight10" showFirstColumn="0" showLastColumn="0" showRowStripes="1" showColumnStripes="0"/>
</table>
</file>

<file path=xl/tables/table10.xml><?xml version="1.0" encoding="utf-8"?>
<table xmlns="http://schemas.openxmlformats.org/spreadsheetml/2006/main" id="12" name="Table12" displayName="Table12" ref="L1:Q3" totalsRowShown="0">
  <autoFilter ref="L1:Q3"/>
  <tableColumns count="6">
    <tableColumn id="1" name="System"/>
    <tableColumn id="2" name="Initial Investment" dataCellStyle="Currency"/>
    <tableColumn id="3" name="Installation Cost" dataCellStyle="Currency"/>
    <tableColumn id="4" name="Annual Energy Cost" dataCellStyle="Currency"/>
    <tableColumn id="5" name="Salvage Value" dataCellStyle="Currency"/>
    <tableColumn id="6" name="Annual Maintenance Costs" dataCellStyle="Currency"/>
  </tableColumns>
  <tableStyleInfo name="TableStyleLight10" showFirstColumn="0" showLastColumn="0" showRowStripes="1" showColumnStripes="0"/>
</table>
</file>

<file path=xl/tables/table11.xml><?xml version="1.0" encoding="utf-8"?>
<table xmlns="http://schemas.openxmlformats.org/spreadsheetml/2006/main" id="10" name="Table10" displayName="Table10" ref="A40:V42" totalsRowShown="0">
  <autoFilter ref="A40:V42"/>
  <tableColumns count="22">
    <tableColumn id="1" name="System"/>
    <tableColumn id="2" name="0" dataDxfId="173">
      <calculatedColumnFormula>B16</calculatedColumnFormula>
    </tableColumn>
    <tableColumn id="3" name="1" dataDxfId="132">
      <calculatedColumnFormula>0.168*(-$D2)*(1+$B$9)^(Table6[[#Headers],[1]]-1)-$E2</calculatedColumnFormula>
    </tableColumn>
    <tableColumn id="4" name="2" dataDxfId="172">
      <calculatedColumnFormula>(-$D2)*(1+$B$9)^(Table6[[#Headers],[2]]-1)-$E2</calculatedColumnFormula>
    </tableColumn>
    <tableColumn id="5" name="3" dataDxfId="171">
      <calculatedColumnFormula>(-$D2)*(1+$B$9)^(Table6[[#Headers],[3]]-1)-$E2</calculatedColumnFormula>
    </tableColumn>
    <tableColumn id="6" name="4" dataDxfId="170">
      <calculatedColumnFormula>(-$D2)*(1+$B$9)^(Table6[[#Headers],[4]]-1)-$E2</calculatedColumnFormula>
    </tableColumn>
    <tableColumn id="7" name="5" dataDxfId="169">
      <calculatedColumnFormula>(-$D2)*(1+$B$9)^(Table6[[#Headers],[5]]-1)-$E2</calculatedColumnFormula>
    </tableColumn>
    <tableColumn id="8" name="6" dataDxfId="168">
      <calculatedColumnFormula>(-$D2)*(1+$B$9)^(Table6[[#Headers],[6]]-1)-$E2</calculatedColumnFormula>
    </tableColumn>
    <tableColumn id="9" name="7" dataDxfId="167">
      <calculatedColumnFormula>(-$D2)*(1+$B$9)^(Table6[[#Headers],[7]]-1)-$E2</calculatedColumnFormula>
    </tableColumn>
    <tableColumn id="10" name="8" dataDxfId="166">
      <calculatedColumnFormula>(-$D2)*(1+$B$9)^(Table6[[#Headers],[8]]-1)-$E2</calculatedColumnFormula>
    </tableColumn>
    <tableColumn id="11" name="9" dataDxfId="165">
      <calculatedColumnFormula>(-$D2)*(1+$B$9)^(Table6[[#Headers],[9]]-1)-$E2</calculatedColumnFormula>
    </tableColumn>
    <tableColumn id="12" name="10" dataDxfId="164">
      <calculatedColumnFormula>(-$D2)*(1+$B$9)^(Table6[[#Headers],[10]]-1)-$E2</calculatedColumnFormula>
    </tableColumn>
    <tableColumn id="13" name="11" dataDxfId="163">
      <calculatedColumnFormula>(-$D2)*(1+$B$9)^(Table6[[#Headers],[11]]-1)-$E2</calculatedColumnFormula>
    </tableColumn>
    <tableColumn id="14" name="12" dataDxfId="162">
      <calculatedColumnFormula>(-$D2)*(1+$B$9)^(Table6[[#Headers],[12]]-1)-$E2</calculatedColumnFormula>
    </tableColumn>
    <tableColumn id="15" name="13" dataDxfId="161">
      <calculatedColumnFormula>(-$D2)*(1+$B$9)^(Table6[[#Headers],[13]]-1)-$E2</calculatedColumnFormula>
    </tableColumn>
    <tableColumn id="16" name="14" dataDxfId="160">
      <calculatedColumnFormula>(-$D2)*(1+$B$9)^(Table6[[#Headers],[14]]-1)-$E2</calculatedColumnFormula>
    </tableColumn>
    <tableColumn id="17" name="15" dataDxfId="159">
      <calculatedColumnFormula>(-$D2)*(1+$B$9)^(Table6[[#Headers],[15]]-1)-$E2</calculatedColumnFormula>
    </tableColumn>
    <tableColumn id="18" name="16" dataDxfId="158">
      <calculatedColumnFormula>(-$D2)*(1+$B$9)^(Table6[[#Headers],[16]]-1)-$E2</calculatedColumnFormula>
    </tableColumn>
    <tableColumn id="19" name="17" dataDxfId="157">
      <calculatedColumnFormula>(-$D2)*(1+$B$9)^(Table6[[#Headers],[17]]-1)-$E2</calculatedColumnFormula>
    </tableColumn>
    <tableColumn id="20" name="18" dataDxfId="156">
      <calculatedColumnFormula>(-$D2)*(1+$B$9)^(Table6[[#Headers],[18]]-1)-$E2</calculatedColumnFormula>
    </tableColumn>
    <tableColumn id="21" name="19" dataDxfId="155">
      <calculatedColumnFormula>(-$D2)*(1+$B$9)^(Table6[[#Headers],[19]]-1)-$E2</calculatedColumnFormula>
    </tableColumn>
    <tableColumn id="22" name="20" dataDxfId="131">
      <calculatedColumnFormula>0.168*(-$D2)*(1+$B$9)^(Table6[[#Headers],[20]]-1)-$E2</calculatedColumnFormula>
    </tableColumn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1" name="Table11" displayName="Table11" ref="A35:V37" totalsRowShown="0">
  <autoFilter ref="A35:V37"/>
  <tableColumns count="22">
    <tableColumn id="1" name="System"/>
    <tableColumn id="2" name="0" dataDxfId="154"/>
    <tableColumn id="3" name="1" dataDxfId="134">
      <calculatedColumnFormula>0.168*($G2)*(1+$B$9)^(Table6[[#Headers],[1]]-1)</calculatedColumnFormula>
    </tableColumn>
    <tableColumn id="4" name="2" dataDxfId="153">
      <calculatedColumnFormula>($G2)*(1+$B$9)^(Table6[[#Headers],[2]]-1)</calculatedColumnFormula>
    </tableColumn>
    <tableColumn id="5" name="3" dataDxfId="152">
      <calculatedColumnFormula>($G2)*(1+$B$9)^(Table6[[#Headers],[3]]-1)</calculatedColumnFormula>
    </tableColumn>
    <tableColumn id="6" name="4" dataDxfId="151">
      <calculatedColumnFormula>($G2)*(1+$B$9)^(Table6[[#Headers],[4]]-1)</calculatedColumnFormula>
    </tableColumn>
    <tableColumn id="7" name="5" dataDxfId="150">
      <calculatedColumnFormula>($G2)*(1+$B$9)^(Table6[[#Headers],[5]]-1)</calculatedColumnFormula>
    </tableColumn>
    <tableColumn id="8" name="6" dataDxfId="149">
      <calculatedColumnFormula>($G2)*(1+$B$9)^(Table6[[#Headers],[6]]-1)</calculatedColumnFormula>
    </tableColumn>
    <tableColumn id="9" name="7" dataDxfId="148">
      <calculatedColumnFormula>($G2)*(1+$B$9)^(Table6[[#Headers],[7]]-1)</calculatedColumnFormula>
    </tableColumn>
    <tableColumn id="10" name="8" dataDxfId="147">
      <calculatedColumnFormula>($G2)*(1+$B$9)^(Table6[[#Headers],[8]]-1)</calculatedColumnFormula>
    </tableColumn>
    <tableColumn id="11" name="9" dataDxfId="146">
      <calculatedColumnFormula>($G2)*(1+$B$9)^(Table6[[#Headers],[9]]-1)</calculatedColumnFormula>
    </tableColumn>
    <tableColumn id="12" name="10" dataDxfId="145">
      <calculatedColumnFormula>($G2)*(1+$B$9)^(Table6[[#Headers],[10]]-1)</calculatedColumnFormula>
    </tableColumn>
    <tableColumn id="13" name="11" dataDxfId="144">
      <calculatedColumnFormula>($G2)*(1+$B$9)^(Table6[[#Headers],[11]]-1)</calculatedColumnFormula>
    </tableColumn>
    <tableColumn id="14" name="12" dataDxfId="143">
      <calculatedColumnFormula>($G2)*(1+$B$9)^(Table6[[#Headers],[12]]-1)</calculatedColumnFormula>
    </tableColumn>
    <tableColumn id="15" name="13" dataDxfId="142">
      <calculatedColumnFormula>($G2)*(1+$B$9)^(Table6[[#Headers],[13]]-1)</calculatedColumnFormula>
    </tableColumn>
    <tableColumn id="16" name="14" dataDxfId="141">
      <calculatedColumnFormula>($G2)*(1+$B$9)^(Table6[[#Headers],[14]]-1)</calculatedColumnFormula>
    </tableColumn>
    <tableColumn id="17" name="15" dataDxfId="140">
      <calculatedColumnFormula>($G2)*(1+$B$9)^(Table6[[#Headers],[15]]-1)</calculatedColumnFormula>
    </tableColumn>
    <tableColumn id="18" name="16" dataDxfId="139">
      <calculatedColumnFormula>($G2)*(1+$B$9)^(Table6[[#Headers],[16]]-1)</calculatedColumnFormula>
    </tableColumn>
    <tableColumn id="19" name="17" dataDxfId="138">
      <calculatedColumnFormula>($G2)*(1+$B$9)^(Table6[[#Headers],[17]]-1)</calculatedColumnFormula>
    </tableColumn>
    <tableColumn id="20" name="18" dataDxfId="137">
      <calculatedColumnFormula>($G2)*(1+$B$9)^(Table6[[#Headers],[18]]-1)</calculatedColumnFormula>
    </tableColumn>
    <tableColumn id="21" name="19" dataDxfId="136">
      <calculatedColumnFormula>($G2)*(1+$B$9)^(Table6[[#Headers],[19]]-1)</calculatedColumnFormula>
    </tableColumn>
    <tableColumn id="22" name="20" dataDxfId="133">
      <calculatedColumnFormula>0.168*($G2)*(1+$B$9)^(Table6[[#Headers],[20]]-1)+F2</calculatedColumnFormula>
    </tableColumn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45:V47" totalsRowShown="0" headerRowDxfId="220" tableBorderDxfId="221">
  <autoFilter ref="A45:V47"/>
  <tableColumns count="22">
    <tableColumn id="1" name="System" dataDxfId="195"/>
    <tableColumn id="2" name="0" dataDxfId="194">
      <calculatedColumnFormula>B36/(1+$B$12)^B45</calculatedColumnFormula>
    </tableColumn>
    <tableColumn id="3" name="1" dataDxfId="193">
      <calculatedColumnFormula>C36/(1+$B$12)^C44</calculatedColumnFormula>
    </tableColumn>
    <tableColumn id="4" name="2" dataDxfId="192">
      <calculatedColumnFormula>D36/(1+$B$12)^D44</calculatedColumnFormula>
    </tableColumn>
    <tableColumn id="5" name="3" dataDxfId="191">
      <calculatedColumnFormula>E36/(1+$B$12)^E44</calculatedColumnFormula>
    </tableColumn>
    <tableColumn id="6" name="4" dataDxfId="190">
      <calculatedColumnFormula>F36/(1+$B$12)^F44</calculatedColumnFormula>
    </tableColumn>
    <tableColumn id="7" name="5" dataDxfId="189">
      <calculatedColumnFormula>G36/(1+$B$12)^G44</calculatedColumnFormula>
    </tableColumn>
    <tableColumn id="8" name="6" dataDxfId="188">
      <calculatedColumnFormula>H36/(1+$B$12)^H44</calculatedColumnFormula>
    </tableColumn>
    <tableColumn id="9" name="7" dataDxfId="187">
      <calculatedColumnFormula>I36/(1+$B$12)^I44</calculatedColumnFormula>
    </tableColumn>
    <tableColumn id="10" name="8" dataDxfId="186">
      <calculatedColumnFormula>J36/(1+$B$12)^J44</calculatedColumnFormula>
    </tableColumn>
    <tableColumn id="11" name="9" dataDxfId="185">
      <calculatedColumnFormula>K36/(1+$B$12)^K44</calculatedColumnFormula>
    </tableColumn>
    <tableColumn id="12" name="10" dataDxfId="184">
      <calculatedColumnFormula>L36/(1+$B$12)^L44</calculatedColumnFormula>
    </tableColumn>
    <tableColumn id="13" name="11" dataDxfId="183">
      <calculatedColumnFormula>M36/(1+$B$12)^M44</calculatedColumnFormula>
    </tableColumn>
    <tableColumn id="14" name="12" dataDxfId="182">
      <calculatedColumnFormula>N36/(1+$B$12)^N44</calculatedColumnFormula>
    </tableColumn>
    <tableColumn id="15" name="13" dataDxfId="181">
      <calculatedColumnFormula>O36/(1+$B$12)^O44</calculatedColumnFormula>
    </tableColumn>
    <tableColumn id="16" name="14" dataDxfId="180">
      <calculatedColumnFormula>P36/(1+$B$12)^P44</calculatedColumnFormula>
    </tableColumn>
    <tableColumn id="17" name="15" dataDxfId="179">
      <calculatedColumnFormula>Q36/(1+$B$12)^Q44</calculatedColumnFormula>
    </tableColumn>
    <tableColumn id="18" name="16" dataDxfId="178">
      <calculatedColumnFormula>R36/(1+$B$12)^R44</calculatedColumnFormula>
    </tableColumn>
    <tableColumn id="19" name="17" dataDxfId="177">
      <calculatedColumnFormula>S36/(1+$B$12)^S44</calculatedColumnFormula>
    </tableColumn>
    <tableColumn id="20" name="18" dataDxfId="176">
      <calculatedColumnFormula>T36/(1+$B$12)^T44</calculatedColumnFormula>
    </tableColumn>
    <tableColumn id="21" name="19" dataDxfId="175">
      <calculatedColumnFormula>U36/(1+$B$12)^U44</calculatedColumnFormula>
    </tableColumn>
    <tableColumn id="22" name="20" dataDxfId="174">
      <calculatedColumnFormula>V36/(1+$B$12)^V44</calculatedColumnFormula>
    </tableColumn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A51:V53" totalsRowShown="0" headerRowDxfId="218" tableBorderDxfId="219">
  <autoFilter ref="A51:V53"/>
  <tableColumns count="22">
    <tableColumn id="1" name="System" dataDxfId="217"/>
    <tableColumn id="2" name="0" dataDxfId="216">
      <calculatedColumnFormula>B41/(1+$B$12)^B50</calculatedColumnFormula>
    </tableColumn>
    <tableColumn id="3" name="1" dataDxfId="215">
      <calculatedColumnFormula>C41/(1+$B$12)^C50</calculatedColumnFormula>
    </tableColumn>
    <tableColumn id="4" name="2" dataDxfId="214">
      <calculatedColumnFormula>D41/(1+$B$12)^D50</calculatedColumnFormula>
    </tableColumn>
    <tableColumn id="5" name="3" dataDxfId="213">
      <calculatedColumnFormula>E41/(1+$B$12)^E50</calculatedColumnFormula>
    </tableColumn>
    <tableColumn id="6" name="4" dataDxfId="212">
      <calculatedColumnFormula>F41/(1+$B$12)^F50</calculatedColumnFormula>
    </tableColumn>
    <tableColumn id="7" name="5" dataDxfId="211">
      <calculatedColumnFormula>G41/(1+$B$12)^G50</calculatedColumnFormula>
    </tableColumn>
    <tableColumn id="8" name="6" dataDxfId="210">
      <calculatedColumnFormula>H41/(1+$B$12)^H50</calculatedColumnFormula>
    </tableColumn>
    <tableColumn id="9" name="7" dataDxfId="209">
      <calculatedColumnFormula>I41/(1+$B$12)^I50</calculatedColumnFormula>
    </tableColumn>
    <tableColumn id="10" name="8" dataDxfId="208">
      <calculatedColumnFormula>J41/(1+$B$12)^J50</calculatedColumnFormula>
    </tableColumn>
    <tableColumn id="11" name="9" dataDxfId="207">
      <calculatedColumnFormula>K41/(1+$B$12)^K50</calculatedColumnFormula>
    </tableColumn>
    <tableColumn id="12" name="10" dataDxfId="206">
      <calculatedColumnFormula>L41/(1+$B$12)^L50</calculatedColumnFormula>
    </tableColumn>
    <tableColumn id="13" name="11" dataDxfId="205">
      <calculatedColumnFormula>M41/(1+$B$12)^M50</calculatedColumnFormula>
    </tableColumn>
    <tableColumn id="14" name="12" dataDxfId="204">
      <calculatedColumnFormula>N41/(1+$B$12)^N50</calculatedColumnFormula>
    </tableColumn>
    <tableColumn id="15" name="13" dataDxfId="203">
      <calculatedColumnFormula>O41/(1+$B$12)^O50</calculatedColumnFormula>
    </tableColumn>
    <tableColumn id="16" name="14" dataDxfId="202">
      <calculatedColumnFormula>P41/(1+$B$12)^P50</calculatedColumnFormula>
    </tableColumn>
    <tableColumn id="17" name="15" dataDxfId="201">
      <calculatedColumnFormula>Q41/(1+$B$12)^Q50</calculatedColumnFormula>
    </tableColumn>
    <tableColumn id="18" name="16" dataDxfId="200">
      <calculatedColumnFormula>R41/(1+$B$12)^R50</calculatedColumnFormula>
    </tableColumn>
    <tableColumn id="19" name="17" dataDxfId="199">
      <calculatedColumnFormula>S41/(1+$B$12)^S50</calculatedColumnFormula>
    </tableColumn>
    <tableColumn id="20" name="18" dataDxfId="198">
      <calculatedColumnFormula>T41/(1+$B$12)^T50</calculatedColumnFormula>
    </tableColumn>
    <tableColumn id="21" name="19" dataDxfId="197">
      <calculatedColumnFormula>U41/(1+$B$12)^U50</calculatedColumnFormula>
    </tableColumn>
    <tableColumn id="22" name="20" dataDxfId="196">
      <calculatedColumnFormula>V41/(1+$B$12)^V50</calculatedColumnFormula>
    </tableColumn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46" name="Table47" displayName="Table47" ref="A69:V71" totalsRowShown="0" headerRowDxfId="130">
  <autoFilter ref="A69:V71"/>
  <tableColumns count="22">
    <tableColumn id="1" name="System"/>
    <tableColumn id="2" name="0"/>
    <tableColumn id="3" name="1">
      <calculatedColumnFormula>0.168*(840)*(1+$B$9)^(Table6[[#Headers],[1]]-1)</calculatedColumnFormula>
    </tableColumn>
    <tableColumn id="4" name="2">
      <calculatedColumnFormula>0.168*(840)*(1+$B$9)^(Table6[[#Headers],[2]]-1)</calculatedColumnFormula>
    </tableColumn>
    <tableColumn id="5" name="3">
      <calculatedColumnFormula>0.168*(840)*(1+$B$9)^(Table6[[#Headers],[3]]-1)</calculatedColumnFormula>
    </tableColumn>
    <tableColumn id="6" name="4">
      <calculatedColumnFormula>0.168*(840)*(1+$B$9)^(Table6[[#Headers],[4]]-1)</calculatedColumnFormula>
    </tableColumn>
    <tableColumn id="7" name="5">
      <calculatedColumnFormula>0.168*(840)*(1+$B$9)^(Table6[[#Headers],[5]]-1)</calculatedColumnFormula>
    </tableColumn>
    <tableColumn id="8" name="6">
      <calculatedColumnFormula>0.168*(840)*(1+$B$9)^(Table6[[#Headers],[6]]-1)</calculatedColumnFormula>
    </tableColumn>
    <tableColumn id="9" name="7">
      <calculatedColumnFormula>0.168*(840)*(1+$B$9)^(Table6[[#Headers],[7]]-1)</calculatedColumnFormula>
    </tableColumn>
    <tableColumn id="10" name="8">
      <calculatedColumnFormula>0.168*(840)*(1+$B$9)^(Table6[[#Headers],[8]]-1)</calculatedColumnFormula>
    </tableColumn>
    <tableColumn id="11" name="9">
      <calculatedColumnFormula>0.168*(840)*(1+$B$9)^(Table6[[#Headers],[9]]-1)</calculatedColumnFormula>
    </tableColumn>
    <tableColumn id="12" name="10">
      <calculatedColumnFormula>0.168*(840)*(1+$B$9)^(Table6[[#Headers],[10]]-1)</calculatedColumnFormula>
    </tableColumn>
    <tableColumn id="13" name="11">
      <calculatedColumnFormula>0.168*(840)*(1+$B$9)^(Table6[[#Headers],[11]]-1)</calculatedColumnFormula>
    </tableColumn>
    <tableColumn id="14" name="12">
      <calculatedColumnFormula>0.168*(840)*(1+$B$9)^(Table6[[#Headers],[12]]-1)</calculatedColumnFormula>
    </tableColumn>
    <tableColumn id="15" name="13">
      <calculatedColumnFormula>0.168*(840)*(1+$B$9)^(Table6[[#Headers],[13]]-1)</calculatedColumnFormula>
    </tableColumn>
    <tableColumn id="16" name="14">
      <calculatedColumnFormula>0.168*(840)*(1+$B$9)^(Table6[[#Headers],[14]]-1)</calculatedColumnFormula>
    </tableColumn>
    <tableColumn id="17" name="15">
      <calculatedColumnFormula>0.168*(840)*(1+$B$9)^(Table6[[#Headers],[15]]-1)</calculatedColumnFormula>
    </tableColumn>
    <tableColumn id="18" name="16">
      <calculatedColumnFormula>0.168*(840)*(1+$B$9)^(Table6[[#Headers],[16]]-1)</calculatedColumnFormula>
    </tableColumn>
    <tableColumn id="19" name="17">
      <calculatedColumnFormula>0.168*(840)*(1+$B$9)^(Table6[[#Headers],[17]]-1)</calculatedColumnFormula>
    </tableColumn>
    <tableColumn id="20" name="18">
      <calculatedColumnFormula>0.168*(840)*(1+$B$9)^(Table6[[#Headers],[18]]-1)</calculatedColumnFormula>
    </tableColumn>
    <tableColumn id="21" name="19">
      <calculatedColumnFormula>0.168*(840)*(1+$B$9)^(Table6[[#Headers],[19]]-1)</calculatedColumnFormula>
    </tableColumn>
    <tableColumn id="22" name="20">
      <calculatedColumnFormula>0.168*(840)*(1+$B$9)^(Table6[[#Headers],[20]]-1)</calculatedColumnFormula>
    </tableColumn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47" name="Table48" displayName="Table48" ref="A75:V77" totalsRowShown="0" headerRowDxfId="127" tableBorderDxfId="129">
  <autoFilter ref="A75:V77"/>
  <tableColumns count="22">
    <tableColumn id="1" name="System" dataDxfId="128"/>
    <tableColumn id="2" name="0" dataDxfId="120">
      <calculatedColumnFormula>B70+B76:V76/(1+$B$12)^Table47[[#Headers],[0]]</calculatedColumnFormula>
    </tableColumn>
    <tableColumn id="3" name="1">
      <calculatedColumnFormula>C70/(1+$B$12)^Table47[[#Headers],[1]]</calculatedColumnFormula>
    </tableColumn>
    <tableColumn id="4" name="2">
      <calculatedColumnFormula>D70/(1+$B$12)^Table47[[#Headers],[2]]</calculatedColumnFormula>
    </tableColumn>
    <tableColumn id="5" name="3">
      <calculatedColumnFormula>E70/(1+$B$12)^Table47[[#Headers],[3]]</calculatedColumnFormula>
    </tableColumn>
    <tableColumn id="6" name="4">
      <calculatedColumnFormula>F70/(1+$B$12)^Table47[[#Headers],[4]]</calculatedColumnFormula>
    </tableColumn>
    <tableColumn id="7" name="5">
      <calculatedColumnFormula>G70/(1+$B$12)^Table47[[#Headers],[5]]</calculatedColumnFormula>
    </tableColumn>
    <tableColumn id="8" name="6">
      <calculatedColumnFormula>H70/(1+$B$12)^Table47[[#Headers],[6]]</calculatedColumnFormula>
    </tableColumn>
    <tableColumn id="9" name="7">
      <calculatedColumnFormula>I70/(1+$B$12)^Table47[[#Headers],[7]]</calculatedColumnFormula>
    </tableColumn>
    <tableColumn id="10" name="8">
      <calculatedColumnFormula>J70/(1+$B$12)^Table47[[#Headers],[8]]</calculatedColumnFormula>
    </tableColumn>
    <tableColumn id="11" name="9">
      <calculatedColumnFormula>K70/(1+$B$12)^Table47[[#Headers],[9]]</calculatedColumnFormula>
    </tableColumn>
    <tableColumn id="12" name="10">
      <calculatedColumnFormula>L70/(1+$B$12)^Table47[[#Headers],[10]]</calculatedColumnFormula>
    </tableColumn>
    <tableColumn id="13" name="11">
      <calculatedColumnFormula>M70/(1+$B$12)^Table47[[#Headers],[11]]</calculatedColumnFormula>
    </tableColumn>
    <tableColumn id="14" name="12">
      <calculatedColumnFormula>N70/(1+$B$12)^Table47[[#Headers],[12]]</calculatedColumnFormula>
    </tableColumn>
    <tableColumn id="15" name="13">
      <calculatedColumnFormula>O70/(1+$B$12)^Table47[[#Headers],[13]]</calculatedColumnFormula>
    </tableColumn>
    <tableColumn id="16" name="14">
      <calculatedColumnFormula>P70/(1+$B$12)^Table47[[#Headers],[14]]</calculatedColumnFormula>
    </tableColumn>
    <tableColumn id="17" name="15">
      <calculatedColumnFormula>Q70/(1+$B$12)^Table47[[#Headers],[15]]</calculatedColumnFormula>
    </tableColumn>
    <tableColumn id="18" name="16">
      <calculatedColumnFormula>R70/(1+$B$12)^Table47[[#Headers],[16]]</calculatedColumnFormula>
    </tableColumn>
    <tableColumn id="19" name="17">
      <calculatedColumnFormula>S70/(1+$B$12)^Table47[[#Headers],[17]]</calculatedColumnFormula>
    </tableColumn>
    <tableColumn id="20" name="18">
      <calculatedColumnFormula>T70/(1+$B$12)^Table47[[#Headers],[18]]</calculatedColumnFormula>
    </tableColumn>
    <tableColumn id="21" name="19">
      <calculatedColumnFormula>U70/(1+$B$12)^Table47[[#Headers],[19]]</calculatedColumnFormula>
    </tableColumn>
    <tableColumn id="22" name="20">
      <calculatedColumnFormula>V70/(1+$B$12)^Table47[[#Headers],[20]]</calculatedColumnFormula>
    </tableColumn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48" name="Table4849" displayName="Table4849" ref="A81:V83" totalsRowShown="0" headerRowDxfId="126" tableBorderDxfId="125">
  <autoFilter ref="A81:V83"/>
  <tableColumns count="22">
    <tableColumn id="1" name="System" dataDxfId="124"/>
    <tableColumn id="2" name="0"/>
    <tableColumn id="3" name="1"/>
    <tableColumn id="4" name="2"/>
    <tableColumn id="5" name="3"/>
    <tableColumn id="6" name="4"/>
    <tableColumn id="7" name="5"/>
    <tableColumn id="8" name="6"/>
    <tableColumn id="9" name="7"/>
    <tableColumn id="10" name="8"/>
    <tableColumn id="11" name="9"/>
    <tableColumn id="12" name="10"/>
    <tableColumn id="13" name="11"/>
    <tableColumn id="14" name="12"/>
    <tableColumn id="15" name="13"/>
    <tableColumn id="16" name="14"/>
    <tableColumn id="17" name="15"/>
    <tableColumn id="18" name="16"/>
    <tableColumn id="19" name="17"/>
    <tableColumn id="20" name="18"/>
    <tableColumn id="21" name="19"/>
    <tableColumn id="22" name="20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50" name="Table50" displayName="Table50" ref="A86:V88" totalsRowShown="0" headerRowDxfId="121" tableBorderDxfId="123">
  <autoFilter ref="A86:V88"/>
  <tableColumns count="22">
    <tableColumn id="1" name="System" dataDxfId="122"/>
    <tableColumn id="2" name="0">
      <calculatedColumnFormula>B82/(1+$B$12)^Table48[[#Headers],[0]]</calculatedColumnFormula>
    </tableColumn>
    <tableColumn id="3" name="1">
      <calculatedColumnFormula>C82/(1+$B$12)^Table48[[#Headers],[1]]</calculatedColumnFormula>
    </tableColumn>
    <tableColumn id="4" name="2">
      <calculatedColumnFormula>D82/(1+$B$12)^Table48[[#Headers],[2]]</calculatedColumnFormula>
    </tableColumn>
    <tableColumn id="5" name="3">
      <calculatedColumnFormula>E82/(1+$B$12)^Table48[[#Headers],[3]]</calculatedColumnFormula>
    </tableColumn>
    <tableColumn id="6" name="4">
      <calculatedColumnFormula>F82/(1+$B$12)^Table48[[#Headers],[4]]</calculatedColumnFormula>
    </tableColumn>
    <tableColumn id="7" name="5">
      <calculatedColumnFormula>G82/(1+$B$12)^Table48[[#Headers],[5]]</calculatedColumnFormula>
    </tableColumn>
    <tableColumn id="8" name="6">
      <calculatedColumnFormula>H82/(1+$B$12)^Table48[[#Headers],[6]]</calculatedColumnFormula>
    </tableColumn>
    <tableColumn id="9" name="7">
      <calculatedColumnFormula>I82/(1+$B$12)^Table48[[#Headers],[7]]</calculatedColumnFormula>
    </tableColumn>
    <tableColumn id="10" name="8">
      <calculatedColumnFormula>J82/(1+$B$12)^Table48[[#Headers],[8]]</calculatedColumnFormula>
    </tableColumn>
    <tableColumn id="11" name="9">
      <calculatedColumnFormula>K82/(1+$B$12)^Table48[[#Headers],[9]]</calculatedColumnFormula>
    </tableColumn>
    <tableColumn id="12" name="10">
      <calculatedColumnFormula>L82/(1+$B$12)^Table48[[#Headers],[10]]</calculatedColumnFormula>
    </tableColumn>
    <tableColumn id="13" name="11">
      <calculatedColumnFormula>M82/(1+$B$12)^Table48[[#Headers],[11]]</calculatedColumnFormula>
    </tableColumn>
    <tableColumn id="14" name="12">
      <calculatedColumnFormula>N82/(1+$B$12)^Table48[[#Headers],[12]]</calculatedColumnFormula>
    </tableColumn>
    <tableColumn id="15" name="13">
      <calculatedColumnFormula>O82/(1+$B$12)^Table48[[#Headers],[13]]</calculatedColumnFormula>
    </tableColumn>
    <tableColumn id="16" name="14">
      <calculatedColumnFormula>P82/(1+$B$12)^Table48[[#Headers],[14]]</calculatedColumnFormula>
    </tableColumn>
    <tableColumn id="17" name="15">
      <calculatedColumnFormula>Q82/(1+$B$12)^Table48[[#Headers],[15]]</calculatedColumnFormula>
    </tableColumn>
    <tableColumn id="18" name="16">
      <calculatedColumnFormula>R82/(1+$B$12)^Table48[[#Headers],[16]]</calculatedColumnFormula>
    </tableColumn>
    <tableColumn id="19" name="17">
      <calculatedColumnFormula>S82/(1+$B$12)^Table48[[#Headers],[17]]</calculatedColumnFormula>
    </tableColumn>
    <tableColumn id="20" name="18">
      <calculatedColumnFormula>T82/(1+$B$12)^Table48[[#Headers],[18]]</calculatedColumnFormula>
    </tableColumn>
    <tableColumn id="21" name="19">
      <calculatedColumnFormula>U82/(1+$B$12)^Table48[[#Headers],[19]]</calculatedColumnFormula>
    </tableColumn>
    <tableColumn id="22" name="20">
      <calculatedColumnFormula>V82/(1+$B$12)^Table48[[#Headers],[20]]</calculatedColumnFormula>
    </tableColumn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53" name="Table53" displayName="Table53" ref="A13:V15" totalsRowShown="0" headerRowDxfId="119" headerRowBorderDxfId="117" tableBorderDxfId="118" totalsRowBorderDxfId="116" headerRowCellStyle="Comma [0]" dataCellStyle="Normal">
  <autoFilter ref="A13:V15"/>
  <tableColumns count="22">
    <tableColumn id="1" name="System" dataCellStyle="Normal"/>
    <tableColumn id="2" name="0" dataCellStyle="Normal"/>
    <tableColumn id="3" name="1" dataCellStyle="Normal"/>
    <tableColumn id="4" name="2" dataCellStyle="Normal"/>
    <tableColumn id="5" name="3" dataCellStyle="Normal"/>
    <tableColumn id="6" name="4" dataCellStyle="Normal"/>
    <tableColumn id="7" name="5" dataCellStyle="Normal"/>
    <tableColumn id="8" name="6" dataCellStyle="Normal"/>
    <tableColumn id="9" name="7" dataCellStyle="Normal"/>
    <tableColumn id="10" name="8" dataCellStyle="Normal"/>
    <tableColumn id="11" name="9" dataCellStyle="Normal"/>
    <tableColumn id="12" name="10" dataCellStyle="Normal"/>
    <tableColumn id="13" name="11" dataCellStyle="Normal"/>
    <tableColumn id="14" name="12" dataCellStyle="Normal"/>
    <tableColumn id="15" name="13" dataCellStyle="Normal"/>
    <tableColumn id="16" name="14" dataCellStyle="Normal"/>
    <tableColumn id="17" name="15" dataCellStyle="Normal"/>
    <tableColumn id="18" name="16" dataCellStyle="Normal"/>
    <tableColumn id="19" name="17" dataCellStyle="Normal"/>
    <tableColumn id="20" name="18" dataCellStyle="Normal"/>
    <tableColumn id="21" name="19" dataCellStyle="Normal"/>
    <tableColumn id="22" name="20" dataCellStyle="Normal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57" name="Table57" displayName="Table57" ref="A20:V22" totalsRowShown="0" headerRowDxfId="93" dataDxfId="94" dataCellStyle="Currency">
  <autoFilter ref="A20:V22"/>
  <tableColumns count="22">
    <tableColumn id="1" name="System"/>
    <tableColumn id="2" name="0" dataDxfId="115" dataCellStyle="Currency"/>
    <tableColumn id="3" name="1" dataDxfId="114" dataCellStyle="Currency"/>
    <tableColumn id="4" name="2" dataDxfId="113" dataCellStyle="Currency"/>
    <tableColumn id="5" name="3" dataDxfId="112" dataCellStyle="Currency"/>
    <tableColumn id="6" name="4" dataDxfId="111" dataCellStyle="Currency"/>
    <tableColumn id="7" name="5" dataDxfId="110" dataCellStyle="Currency"/>
    <tableColumn id="8" name="6" dataDxfId="109" dataCellStyle="Currency"/>
    <tableColumn id="9" name="7" dataDxfId="108" dataCellStyle="Currency"/>
    <tableColumn id="10" name="8" dataDxfId="107" dataCellStyle="Currency"/>
    <tableColumn id="11" name="9" dataDxfId="106" dataCellStyle="Currency"/>
    <tableColumn id="12" name="10" dataDxfId="105" dataCellStyle="Currency"/>
    <tableColumn id="13" name="11" dataDxfId="104" dataCellStyle="Currency"/>
    <tableColumn id="14" name="12" dataDxfId="103" dataCellStyle="Currency"/>
    <tableColumn id="15" name="13" dataDxfId="102" dataCellStyle="Currency"/>
    <tableColumn id="16" name="14" dataDxfId="101" dataCellStyle="Currency"/>
    <tableColumn id="17" name="15" dataDxfId="100" dataCellStyle="Currency"/>
    <tableColumn id="18" name="16" dataDxfId="99" dataCellStyle="Currency"/>
    <tableColumn id="19" name="17" dataDxfId="98" dataCellStyle="Currency"/>
    <tableColumn id="20" name="18" dataDxfId="97" dataCellStyle="Currency"/>
    <tableColumn id="21" name="19" dataDxfId="96" dataCellStyle="Currency"/>
    <tableColumn id="22" name="20" dataDxfId="95" dataCellStyle="Currency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60" name="Table60" displayName="Table60" ref="A29:V31" totalsRowShown="0">
  <autoFilter ref="A29:V31"/>
  <tableColumns count="22">
    <tableColumn id="1" name="System"/>
    <tableColumn id="2" name="0" dataDxfId="92"/>
    <tableColumn id="3" name="1" dataDxfId="91"/>
    <tableColumn id="4" name="2" dataDxfId="90"/>
    <tableColumn id="5" name="3" dataDxfId="89"/>
    <tableColumn id="6" name="4" dataDxfId="88"/>
    <tableColumn id="7" name="5" dataDxfId="87"/>
    <tableColumn id="8" name="6" dataDxfId="86"/>
    <tableColumn id="9" name="7" dataDxfId="85"/>
    <tableColumn id="10" name="8" dataDxfId="84"/>
    <tableColumn id="11" name="9" dataDxfId="83"/>
    <tableColumn id="12" name="10" dataDxfId="82"/>
    <tableColumn id="13" name="11" dataDxfId="81"/>
    <tableColumn id="14" name="12" dataDxfId="80"/>
    <tableColumn id="15" name="13" dataDxfId="79"/>
    <tableColumn id="16" name="14" dataDxfId="78"/>
    <tableColumn id="17" name="15" dataDxfId="77"/>
    <tableColumn id="18" name="16" dataDxfId="76"/>
    <tableColumn id="19" name="17" dataDxfId="75"/>
    <tableColumn id="20" name="18" dataDxfId="74"/>
    <tableColumn id="21" name="19" dataDxfId="73"/>
    <tableColumn id="22" name="20" dataDxfId="72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63" name="Table63" displayName="Table63" ref="A35:V37" totalsRowShown="0">
  <autoFilter ref="A35:V37"/>
  <tableColumns count="22">
    <tableColumn id="1" name="System"/>
    <tableColumn id="2" name="0" dataDxfId="71"/>
    <tableColumn id="3" name="1" dataDxfId="70"/>
    <tableColumn id="4" name="2" dataDxfId="69"/>
    <tableColumn id="5" name="3" dataDxfId="68"/>
    <tableColumn id="6" name="4" dataDxfId="67"/>
    <tableColumn id="7" name="5" dataDxfId="66"/>
    <tableColumn id="8" name="6" dataDxfId="65"/>
    <tableColumn id="9" name="7" dataDxfId="64"/>
    <tableColumn id="10" name="8" dataDxfId="63"/>
    <tableColumn id="11" name="9" dataDxfId="62"/>
    <tableColumn id="12" name="10" dataDxfId="61"/>
    <tableColumn id="13" name="11" dataDxfId="60"/>
    <tableColumn id="14" name="12" dataDxfId="59"/>
    <tableColumn id="15" name="13" dataDxfId="58"/>
    <tableColumn id="16" name="14" dataDxfId="57"/>
    <tableColumn id="17" name="15" dataDxfId="56"/>
    <tableColumn id="18" name="16" dataDxfId="55"/>
    <tableColumn id="19" name="17" dataDxfId="54"/>
    <tableColumn id="20" name="18" dataDxfId="53"/>
    <tableColumn id="21" name="19" dataDxfId="52"/>
    <tableColumn id="22" name="20" dataDxfId="51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66" name="Table66" displayName="Table66" ref="A41:V43" totalsRowShown="0" headerRowDxfId="28">
  <autoFilter ref="A41:V43"/>
  <tableColumns count="22">
    <tableColumn id="1" name="System" dataDxfId="50"/>
    <tableColumn id="2" name="0" dataDxfId="49"/>
    <tableColumn id="3" name="1" dataDxfId="48"/>
    <tableColumn id="4" name="2" dataDxfId="47"/>
    <tableColumn id="5" name="3" dataDxfId="46"/>
    <tableColumn id="6" name="4" dataDxfId="45"/>
    <tableColumn id="7" name="5" dataDxfId="44"/>
    <tableColumn id="8" name="6" dataDxfId="43"/>
    <tableColumn id="9" name="7" dataDxfId="42"/>
    <tableColumn id="10" name="8" dataDxfId="41"/>
    <tableColumn id="11" name="9" dataDxfId="40"/>
    <tableColumn id="12" name="10" dataDxfId="39"/>
    <tableColumn id="13" name="11" dataDxfId="38"/>
    <tableColumn id="14" name="12" dataDxfId="37"/>
    <tableColumn id="15" name="13" dataDxfId="36"/>
    <tableColumn id="16" name="14" dataDxfId="35"/>
    <tableColumn id="17" name="15" dataDxfId="34"/>
    <tableColumn id="18" name="16" dataDxfId="33"/>
    <tableColumn id="19" name="17" dataDxfId="32"/>
    <tableColumn id="20" name="18" dataDxfId="31"/>
    <tableColumn id="21" name="19" dataDxfId="30"/>
    <tableColumn id="22" name="20" dataDxfId="29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69" name="Table69" displayName="Table69" ref="A46:V48" totalsRowShown="0" headerRowDxfId="5">
  <autoFilter ref="A46:V48"/>
  <tableColumns count="22">
    <tableColumn id="1" name="System" dataDxfId="27"/>
    <tableColumn id="2" name="0" dataDxfId="26"/>
    <tableColumn id="3" name="1" dataDxfId="25"/>
    <tableColumn id="4" name="2" dataDxfId="24"/>
    <tableColumn id="5" name="3" dataDxfId="23"/>
    <tableColumn id="6" name="4" dataDxfId="22"/>
    <tableColumn id="7" name="5" dataDxfId="21"/>
    <tableColumn id="8" name="6" dataDxfId="20"/>
    <tableColumn id="9" name="7" dataDxfId="19"/>
    <tableColumn id="10" name="8" dataDxfId="18"/>
    <tableColumn id="11" name="9" dataDxfId="17"/>
    <tableColumn id="12" name="10" dataDxfId="16"/>
    <tableColumn id="13" name="11" dataDxfId="15"/>
    <tableColumn id="14" name="12" dataDxfId="14"/>
    <tableColumn id="15" name="13" dataDxfId="13"/>
    <tableColumn id="16" name="14" dataDxfId="12"/>
    <tableColumn id="17" name="15" dataDxfId="11"/>
    <tableColumn id="18" name="16" dataDxfId="10"/>
    <tableColumn id="19" name="17" dataDxfId="9"/>
    <tableColumn id="20" name="18" dataDxfId="8"/>
    <tableColumn id="21" name="19" dataDxfId="7"/>
    <tableColumn id="22" name="20" dataDxfId="6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70" name="Table4771" displayName="Table4771" ref="A63:V65" totalsRowShown="0" headerRowDxfId="4">
  <autoFilter ref="A63:V65"/>
  <tableColumns count="22">
    <tableColumn id="1" name="System"/>
    <tableColumn id="2" name="0"/>
    <tableColumn id="3" name="1">
      <calculatedColumnFormula>0.168*(840)*(1+$B$9)^(Table6[[#Headers],[1]]-1)</calculatedColumnFormula>
    </tableColumn>
    <tableColumn id="4" name="2">
      <calculatedColumnFormula>0.168*(840)*(1+$B$9)^(Table6[[#Headers],[2]]-1)</calculatedColumnFormula>
    </tableColumn>
    <tableColumn id="5" name="3">
      <calculatedColumnFormula>0.168*(840)*(1+$B$9)^(Table6[[#Headers],[3]]-1)</calculatedColumnFormula>
    </tableColumn>
    <tableColumn id="6" name="4">
      <calculatedColumnFormula>0.168*(840)*(1+$B$9)^(Table6[[#Headers],[4]]-1)</calculatedColumnFormula>
    </tableColumn>
    <tableColumn id="7" name="5">
      <calculatedColumnFormula>0.168*(840)*(1+$B$9)^(Table6[[#Headers],[5]]-1)</calculatedColumnFormula>
    </tableColumn>
    <tableColumn id="8" name="6">
      <calculatedColumnFormula>0.168*(840)*(1+$B$9)^(Table6[[#Headers],[6]]-1)</calculatedColumnFormula>
    </tableColumn>
    <tableColumn id="9" name="7">
      <calculatedColumnFormula>0.168*(840)*(1+$B$9)^(Table6[[#Headers],[7]]-1)</calculatedColumnFormula>
    </tableColumn>
    <tableColumn id="10" name="8">
      <calculatedColumnFormula>0.168*(840)*(1+$B$9)^(Table6[[#Headers],[8]]-1)</calculatedColumnFormula>
    </tableColumn>
    <tableColumn id="11" name="9">
      <calculatedColumnFormula>0.168*(840)*(1+$B$9)^(Table6[[#Headers],[9]]-1)</calculatedColumnFormula>
    </tableColumn>
    <tableColumn id="12" name="10">
      <calculatedColumnFormula>0.168*(840)*(1+$B$9)^(Table6[[#Headers],[10]]-1)</calculatedColumnFormula>
    </tableColumn>
    <tableColumn id="13" name="11">
      <calculatedColumnFormula>0.168*(840)*(1+$B$9)^(Table6[[#Headers],[11]]-1)</calculatedColumnFormula>
    </tableColumn>
    <tableColumn id="14" name="12">
      <calculatedColumnFormula>0.168*(840)*(1+$B$9)^(Table6[[#Headers],[12]]-1)</calculatedColumnFormula>
    </tableColumn>
    <tableColumn id="15" name="13">
      <calculatedColumnFormula>0.168*(840)*(1+$B$9)^(Table6[[#Headers],[13]]-1)</calculatedColumnFormula>
    </tableColumn>
    <tableColumn id="16" name="14">
      <calculatedColumnFormula>0.168*(840)*(1+$B$9)^(Table6[[#Headers],[14]]-1)</calculatedColumnFormula>
    </tableColumn>
    <tableColumn id="17" name="15">
      <calculatedColumnFormula>0.168*(840)*(1+$B$9)^(Table6[[#Headers],[15]]-1)</calculatedColumnFormula>
    </tableColumn>
    <tableColumn id="18" name="16">
      <calculatedColumnFormula>0.168*(840)*(1+$B$9)^(Table6[[#Headers],[16]]-1)</calculatedColumnFormula>
    </tableColumn>
    <tableColumn id="19" name="17">
      <calculatedColumnFormula>0.168*(840)*(1+$B$9)^(Table6[[#Headers],[17]]-1)</calculatedColumnFormula>
    </tableColumn>
    <tableColumn id="20" name="18">
      <calculatedColumnFormula>0.168*(840)*(1+$B$9)^(Table6[[#Headers],[18]]-1)</calculatedColumnFormula>
    </tableColumn>
    <tableColumn id="21" name="19">
      <calculatedColumnFormula>0.168*(840)*(1+$B$9)^(Table6[[#Headers],[19]]-1)</calculatedColumnFormula>
    </tableColumn>
    <tableColumn id="22" name="20">
      <calculatedColumnFormula>0.168*(840)*(1+$B$9)^(Table6[[#Headers],[20]]-1)</calculatedColumnFormula>
    </tableColumn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75" name="Table75" displayName="Table75" ref="A71:V73" totalsRowShown="0" headerRowDxfId="2">
  <autoFilter ref="A71:V73"/>
  <tableColumns count="22">
    <tableColumn id="1" name="System" dataDxfId="3"/>
    <tableColumn id="2" name="0"/>
    <tableColumn id="3" name="1"/>
    <tableColumn id="4" name="2"/>
    <tableColumn id="5" name="3"/>
    <tableColumn id="6" name="4"/>
    <tableColumn id="7" name="5"/>
    <tableColumn id="8" name="6"/>
    <tableColumn id="9" name="7"/>
    <tableColumn id="10" name="8"/>
    <tableColumn id="11" name="9"/>
    <tableColumn id="12" name="10"/>
    <tableColumn id="13" name="11"/>
    <tableColumn id="14" name="12"/>
    <tableColumn id="15" name="13"/>
    <tableColumn id="16" name="14"/>
    <tableColumn id="17" name="15"/>
    <tableColumn id="18" name="16"/>
    <tableColumn id="19" name="17"/>
    <tableColumn id="20" name="18"/>
    <tableColumn id="21" name="19"/>
    <tableColumn id="22" name="20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id="78" name="Table78" displayName="Table78" ref="A79:V81" totalsRowShown="0" headerRowDxfId="0">
  <autoFilter ref="A79:V81"/>
  <tableColumns count="22">
    <tableColumn id="1" name="System" dataDxfId="1"/>
    <tableColumn id="2" name="0"/>
    <tableColumn id="3" name="1"/>
    <tableColumn id="4" name="2"/>
    <tableColumn id="5" name="3"/>
    <tableColumn id="6" name="4"/>
    <tableColumn id="7" name="5"/>
    <tableColumn id="8" name="6"/>
    <tableColumn id="9" name="7"/>
    <tableColumn id="10" name="8"/>
    <tableColumn id="11" name="9"/>
    <tableColumn id="12" name="10"/>
    <tableColumn id="13" name="11"/>
    <tableColumn id="14" name="12"/>
    <tableColumn id="15" name="13"/>
    <tableColumn id="16" name="14"/>
    <tableColumn id="17" name="15"/>
    <tableColumn id="18" name="16"/>
    <tableColumn id="19" name="17"/>
    <tableColumn id="20" name="18"/>
    <tableColumn id="21" name="19"/>
    <tableColumn id="22" name="2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vmlDrawing" Target="../drawings/vmlDrawing1.vml"/><Relationship Id="rId7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.xml"/><Relationship Id="rId11" Type="http://schemas.openxmlformats.org/officeDocument/2006/relationships/comments" Target="../comments1.xml"/><Relationship Id="rId5" Type="http://schemas.openxmlformats.org/officeDocument/2006/relationships/image" Target="../media/image1.wmf"/><Relationship Id="rId10" Type="http://schemas.openxmlformats.org/officeDocument/2006/relationships/table" Target="../tables/table5.xml"/><Relationship Id="rId4" Type="http://schemas.openxmlformats.org/officeDocument/2006/relationships/oleObject" Target="../embeddings/oleObject1.bin"/><Relationship Id="rId9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2.xml"/><Relationship Id="rId13" Type="http://schemas.openxmlformats.org/officeDocument/2006/relationships/table" Target="../tables/table17.xml"/><Relationship Id="rId3" Type="http://schemas.openxmlformats.org/officeDocument/2006/relationships/table" Target="../tables/table7.xml"/><Relationship Id="rId7" Type="http://schemas.openxmlformats.org/officeDocument/2006/relationships/table" Target="../tables/table11.xml"/><Relationship Id="rId12" Type="http://schemas.openxmlformats.org/officeDocument/2006/relationships/table" Target="../tables/table16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0.xml"/><Relationship Id="rId11" Type="http://schemas.openxmlformats.org/officeDocument/2006/relationships/table" Target="../tables/table15.xml"/><Relationship Id="rId5" Type="http://schemas.openxmlformats.org/officeDocument/2006/relationships/table" Target="../tables/table9.xml"/><Relationship Id="rId10" Type="http://schemas.openxmlformats.org/officeDocument/2006/relationships/table" Target="../tables/table14.xml"/><Relationship Id="rId4" Type="http://schemas.openxmlformats.org/officeDocument/2006/relationships/table" Target="../tables/table8.xml"/><Relationship Id="rId9" Type="http://schemas.openxmlformats.org/officeDocument/2006/relationships/table" Target="../tables/table13.xml"/><Relationship Id="rId14" Type="http://schemas.openxmlformats.org/officeDocument/2006/relationships/table" Target="../tables/table18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6.xml"/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table" Target="../tables/table19.xml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Relationship Id="rId9" Type="http://schemas.openxmlformats.org/officeDocument/2006/relationships/table" Target="../tables/table2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AB118"/>
  <sheetViews>
    <sheetView topLeftCell="A43" zoomScale="77" zoomScaleNormal="48" workbookViewId="0">
      <selection activeCell="S61" sqref="S61"/>
    </sheetView>
  </sheetViews>
  <sheetFormatPr defaultRowHeight="15" x14ac:dyDescent="0.25"/>
  <cols>
    <col min="1" max="1" width="9.28515625" customWidth="1"/>
    <col min="4" max="4" width="17.28515625" customWidth="1"/>
    <col min="8" max="8" width="8.85546875" customWidth="1"/>
    <col min="13" max="13" width="11.5703125" customWidth="1"/>
    <col min="14" max="15" width="16.28515625" customWidth="1"/>
    <col min="16" max="16" width="11.5703125" customWidth="1"/>
    <col min="17" max="17" width="10.85546875" customWidth="1"/>
    <col min="19" max="19" width="19.5703125" customWidth="1"/>
    <col min="20" max="20" width="13.85546875" bestFit="1" customWidth="1"/>
    <col min="21" max="21" width="11" customWidth="1"/>
    <col min="22" max="22" width="12.28515625" bestFit="1" customWidth="1"/>
    <col min="23" max="23" width="11" customWidth="1"/>
    <col min="24" max="24" width="12.5703125" bestFit="1" customWidth="1"/>
    <col min="25" max="25" width="11" customWidth="1"/>
    <col min="31" max="31" width="12.5703125" bestFit="1" customWidth="1"/>
    <col min="32" max="32" width="20.7109375" bestFit="1" customWidth="1"/>
    <col min="33" max="33" width="11.28515625" bestFit="1" customWidth="1"/>
  </cols>
  <sheetData>
    <row r="2" spans="2:21" x14ac:dyDescent="0.25">
      <c r="C2" s="81" t="s">
        <v>23</v>
      </c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</row>
    <row r="3" spans="2:21" x14ac:dyDescent="0.25"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</row>
    <row r="5" spans="2:21" x14ac:dyDescent="0.25">
      <c r="C5" s="10" t="s">
        <v>27</v>
      </c>
      <c r="D5" s="10"/>
      <c r="E5" s="10"/>
      <c r="F5" s="7" t="s">
        <v>28</v>
      </c>
      <c r="G5" s="9">
        <f>'Load Data'!D5</f>
        <v>25</v>
      </c>
    </row>
    <row r="6" spans="2:21" x14ac:dyDescent="0.25">
      <c r="C6" s="84" t="s">
        <v>46</v>
      </c>
      <c r="D6" s="84"/>
      <c r="E6" s="84"/>
      <c r="F6" s="13" t="s">
        <v>21</v>
      </c>
      <c r="G6" s="9">
        <f>'Load Data'!K18</f>
        <v>88</v>
      </c>
    </row>
    <row r="7" spans="2:21" x14ac:dyDescent="0.25">
      <c r="C7" s="82" t="s">
        <v>14</v>
      </c>
      <c r="D7" s="82"/>
      <c r="E7" s="82"/>
      <c r="F7" s="7" t="s">
        <v>13</v>
      </c>
      <c r="G7">
        <v>16</v>
      </c>
    </row>
    <row r="8" spans="2:21" x14ac:dyDescent="0.25">
      <c r="C8" s="10" t="s">
        <v>12</v>
      </c>
      <c r="D8" s="10"/>
      <c r="E8" s="10"/>
      <c r="F8" s="7" t="s">
        <v>15</v>
      </c>
      <c r="G8">
        <v>19</v>
      </c>
    </row>
    <row r="9" spans="2:21" x14ac:dyDescent="0.25">
      <c r="C9" s="10" t="s">
        <v>16</v>
      </c>
      <c r="D9" s="10"/>
      <c r="E9" s="10"/>
      <c r="F9" s="7" t="s">
        <v>25</v>
      </c>
      <c r="G9">
        <v>0.5</v>
      </c>
    </row>
    <row r="10" spans="2:21" x14ac:dyDescent="0.25">
      <c r="C10" s="10" t="s">
        <v>17</v>
      </c>
      <c r="D10" s="10"/>
      <c r="E10" s="10"/>
      <c r="F10" s="7" t="s">
        <v>22</v>
      </c>
      <c r="G10">
        <v>1.5780000000000001</v>
      </c>
    </row>
    <row r="11" spans="2:21" x14ac:dyDescent="0.25">
      <c r="C11" s="10" t="s">
        <v>18</v>
      </c>
      <c r="D11" s="10"/>
      <c r="E11" s="10"/>
      <c r="F11" s="7" t="s">
        <v>26</v>
      </c>
      <c r="G11">
        <f>I24</f>
        <v>1.4608249999999998</v>
      </c>
    </row>
    <row r="12" spans="2:21" x14ac:dyDescent="0.25">
      <c r="C12" s="10" t="s">
        <v>20</v>
      </c>
      <c r="D12" s="10"/>
      <c r="E12" s="10"/>
      <c r="F12" s="7" t="s">
        <v>21</v>
      </c>
      <c r="G12">
        <v>88</v>
      </c>
    </row>
    <row r="13" spans="2:21" ht="59.25" customHeight="1" x14ac:dyDescent="0.25">
      <c r="C13" s="83" t="s">
        <v>24</v>
      </c>
      <c r="D13" s="83"/>
      <c r="E13" s="83"/>
      <c r="F13" s="7" t="s">
        <v>19</v>
      </c>
      <c r="G13">
        <v>8</v>
      </c>
    </row>
    <row r="14" spans="2:21" ht="29.25" customHeight="1" x14ac:dyDescent="0.25">
      <c r="B14" s="84" t="s">
        <v>29</v>
      </c>
      <c r="C14" s="84"/>
      <c r="D14" s="84"/>
      <c r="E14" s="84"/>
      <c r="F14" s="84"/>
      <c r="G14" s="84"/>
      <c r="H14" s="84"/>
    </row>
    <row r="15" spans="2:21" ht="25.5" customHeight="1" x14ac:dyDescent="0.25"/>
    <row r="21" spans="2:9" ht="21.75" customHeight="1" x14ac:dyDescent="0.25">
      <c r="B21" s="8"/>
      <c r="C21" s="40" t="s">
        <v>19</v>
      </c>
      <c r="D21" s="41" t="s">
        <v>69</v>
      </c>
      <c r="E21" s="42" t="s">
        <v>13</v>
      </c>
      <c r="F21" s="42" t="s">
        <v>15</v>
      </c>
      <c r="G21" s="42" t="s">
        <v>25</v>
      </c>
      <c r="H21" s="42" t="s">
        <v>22</v>
      </c>
      <c r="I21" s="43" t="s">
        <v>26</v>
      </c>
    </row>
    <row r="22" spans="2:9" x14ac:dyDescent="0.25">
      <c r="B22" s="11"/>
      <c r="C22" s="38">
        <v>4</v>
      </c>
      <c r="D22" s="14">
        <f t="shared" ref="D22:D27" si="0">$G$6/1000*$G$5/C22</f>
        <v>0.54999999999999993</v>
      </c>
      <c r="E22" s="11">
        <v>17</v>
      </c>
      <c r="F22" s="11">
        <v>18</v>
      </c>
      <c r="G22" s="11">
        <v>0.3</v>
      </c>
      <c r="H22" s="11">
        <f>0.017*E22+0.034*F22-0.036*C22+0.007*$G$6-0.084*G22+0.374</f>
        <v>1.7218000000000004</v>
      </c>
      <c r="I22" s="39">
        <f>-0.136*E22-0.008*F22+0.052*C22+0.006*$G$6-0.213*G22+2.946</f>
        <v>1.1620999999999999</v>
      </c>
    </row>
    <row r="23" spans="2:9" x14ac:dyDescent="0.25">
      <c r="B23" s="11"/>
      <c r="C23" s="38">
        <v>6</v>
      </c>
      <c r="D23" s="14">
        <f t="shared" si="0"/>
        <v>0.36666666666666664</v>
      </c>
      <c r="E23" s="11">
        <v>17</v>
      </c>
      <c r="F23" s="11">
        <v>18</v>
      </c>
      <c r="G23" s="11">
        <v>0.35</v>
      </c>
      <c r="H23" s="11">
        <f t="shared" ref="H23:H27" si="1">0.017*E23+0.034*F23-0.036*C23+0.007*$G$6-0.084*G23+0.374</f>
        <v>1.6456</v>
      </c>
      <c r="I23" s="39">
        <f t="shared" ref="I23:I27" si="2">-0.136*E23-0.008*F23+0.052*C23+0.006*$G$6-0.213*G23+2.946</f>
        <v>1.2554499999999997</v>
      </c>
    </row>
    <row r="24" spans="2:9" x14ac:dyDescent="0.25">
      <c r="B24" s="11"/>
      <c r="C24" s="38">
        <v>8</v>
      </c>
      <c r="D24" s="14">
        <f t="shared" si="0"/>
        <v>0.27499999999999997</v>
      </c>
      <c r="E24" s="11">
        <v>16</v>
      </c>
      <c r="F24" s="11">
        <v>19</v>
      </c>
      <c r="G24" s="11">
        <v>0.47499999999999998</v>
      </c>
      <c r="H24" s="11">
        <f t="shared" si="1"/>
        <v>1.5800999999999998</v>
      </c>
      <c r="I24" s="39">
        <f t="shared" si="2"/>
        <v>1.4608249999999998</v>
      </c>
    </row>
    <row r="25" spans="2:9" x14ac:dyDescent="0.25">
      <c r="B25" s="11"/>
      <c r="C25" s="38">
        <v>10</v>
      </c>
      <c r="D25" s="14">
        <f t="shared" si="0"/>
        <v>0.21999999999999997</v>
      </c>
      <c r="E25" s="11">
        <v>16</v>
      </c>
      <c r="F25" s="11">
        <v>19</v>
      </c>
      <c r="G25" s="11">
        <v>0.52500000000000002</v>
      </c>
      <c r="H25" s="11">
        <f t="shared" si="1"/>
        <v>1.5038999999999998</v>
      </c>
      <c r="I25" s="39">
        <f t="shared" si="2"/>
        <v>1.5541749999999999</v>
      </c>
    </row>
    <row r="26" spans="2:9" x14ac:dyDescent="0.25">
      <c r="B26" s="11"/>
      <c r="C26" s="44">
        <v>12</v>
      </c>
      <c r="D26" s="45">
        <f t="shared" si="0"/>
        <v>0.18333333333333332</v>
      </c>
      <c r="E26" s="46">
        <v>15.5</v>
      </c>
      <c r="F26" s="46">
        <v>20.5</v>
      </c>
      <c r="G26" s="46">
        <v>0.57499999999999996</v>
      </c>
      <c r="H26" s="11">
        <f t="shared" si="1"/>
        <v>1.4702000000000002</v>
      </c>
      <c r="I26" s="39">
        <f t="shared" si="2"/>
        <v>1.7035250000000002</v>
      </c>
    </row>
    <row r="27" spans="2:9" x14ac:dyDescent="0.25">
      <c r="B27" s="11"/>
      <c r="C27" s="44">
        <v>14</v>
      </c>
      <c r="D27" s="45">
        <f t="shared" si="0"/>
        <v>0.15714285714285711</v>
      </c>
      <c r="E27" s="46">
        <v>15.5</v>
      </c>
      <c r="F27" s="46">
        <v>20.5</v>
      </c>
      <c r="G27" s="46">
        <v>0.6</v>
      </c>
      <c r="H27" s="11">
        <f t="shared" si="1"/>
        <v>1.3961000000000001</v>
      </c>
      <c r="I27" s="39">
        <f t="shared" si="2"/>
        <v>1.8022</v>
      </c>
    </row>
    <row r="28" spans="2:9" x14ac:dyDescent="0.25">
      <c r="B28" s="11"/>
      <c r="C28" s="11"/>
      <c r="D28" s="14"/>
      <c r="E28" s="11"/>
      <c r="F28" s="11"/>
      <c r="G28" s="11"/>
      <c r="H28" s="11"/>
      <c r="I28" s="11"/>
    </row>
    <row r="29" spans="2:9" x14ac:dyDescent="0.25">
      <c r="B29" s="11"/>
      <c r="C29" s="11"/>
      <c r="D29" s="14"/>
      <c r="E29" s="11"/>
      <c r="F29" s="11"/>
      <c r="G29" s="11"/>
      <c r="H29" s="11"/>
      <c r="I29" s="11"/>
    </row>
    <row r="31" spans="2:9" ht="35.25" customHeight="1" x14ac:dyDescent="0.25">
      <c r="B31" s="85" t="s">
        <v>30</v>
      </c>
      <c r="C31" s="85"/>
      <c r="D31" s="85"/>
      <c r="E31" s="85"/>
      <c r="F31" s="85"/>
      <c r="G31" s="85"/>
      <c r="H31" s="85"/>
      <c r="I31" s="85"/>
    </row>
    <row r="33" spans="1:28" x14ac:dyDescent="0.25">
      <c r="B33" t="s">
        <v>31</v>
      </c>
    </row>
    <row r="34" spans="1:28" ht="32.25" customHeight="1" x14ac:dyDescent="0.25"/>
    <row r="35" spans="1:28" x14ac:dyDescent="0.25">
      <c r="A35" s="55" t="s">
        <v>72</v>
      </c>
      <c r="B35" s="64" t="s">
        <v>19</v>
      </c>
      <c r="C35" s="64" t="s">
        <v>69</v>
      </c>
      <c r="D35" s="64" t="s">
        <v>15</v>
      </c>
      <c r="E35" s="64" t="s">
        <v>26</v>
      </c>
      <c r="F35" s="64" t="s">
        <v>32</v>
      </c>
      <c r="G35" s="15"/>
    </row>
    <row r="36" spans="1:28" x14ac:dyDescent="0.25">
      <c r="A36" s="55">
        <v>1</v>
      </c>
      <c r="B36" s="38">
        <v>4</v>
      </c>
      <c r="C36" s="14">
        <f t="shared" ref="C36:C41" si="3">$G$6/1000*$G$5/B36</f>
        <v>0.54999999999999993</v>
      </c>
      <c r="D36" s="11">
        <v>18</v>
      </c>
      <c r="E36" s="11">
        <f t="shared" ref="E36:E41" si="4">I22</f>
        <v>1.1620999999999999</v>
      </c>
      <c r="F36" s="39">
        <f>D36+E36*3*3/(4)</f>
        <v>20.614725</v>
      </c>
      <c r="G36" s="16"/>
    </row>
    <row r="37" spans="1:28" x14ac:dyDescent="0.25">
      <c r="A37" s="55">
        <v>2</v>
      </c>
      <c r="B37" s="38">
        <v>6</v>
      </c>
      <c r="C37" s="14">
        <f t="shared" si="3"/>
        <v>0.36666666666666664</v>
      </c>
      <c r="D37" s="11">
        <v>18</v>
      </c>
      <c r="E37" s="11">
        <f t="shared" si="4"/>
        <v>1.2554499999999997</v>
      </c>
      <c r="F37" s="39">
        <f t="shared" ref="F37:F40" si="5">D37+E37*3*3/(4)</f>
        <v>20.824762499999999</v>
      </c>
      <c r="G37" s="16"/>
    </row>
    <row r="38" spans="1:28" x14ac:dyDescent="0.25">
      <c r="A38" s="55">
        <v>3</v>
      </c>
      <c r="B38" s="38">
        <v>8</v>
      </c>
      <c r="C38" s="14">
        <f t="shared" si="3"/>
        <v>0.27499999999999997</v>
      </c>
      <c r="D38" s="11">
        <v>19</v>
      </c>
      <c r="E38" s="11">
        <f t="shared" si="4"/>
        <v>1.4608249999999998</v>
      </c>
      <c r="F38" s="39">
        <f t="shared" si="5"/>
        <v>22.28685625</v>
      </c>
      <c r="G38" s="16"/>
    </row>
    <row r="39" spans="1:28" x14ac:dyDescent="0.25">
      <c r="A39" s="55">
        <v>4</v>
      </c>
      <c r="B39" s="38">
        <v>10</v>
      </c>
      <c r="C39" s="14">
        <f t="shared" si="3"/>
        <v>0.21999999999999997</v>
      </c>
      <c r="D39" s="11">
        <v>19</v>
      </c>
      <c r="E39" s="11">
        <f t="shared" si="4"/>
        <v>1.5541749999999999</v>
      </c>
      <c r="F39" s="39">
        <f t="shared" si="5"/>
        <v>22.496893749999998</v>
      </c>
      <c r="G39" s="16"/>
    </row>
    <row r="40" spans="1:28" x14ac:dyDescent="0.25">
      <c r="A40" s="55">
        <v>5</v>
      </c>
      <c r="B40" s="44">
        <v>12</v>
      </c>
      <c r="C40" s="45">
        <f t="shared" si="3"/>
        <v>0.18333333333333332</v>
      </c>
      <c r="D40" s="46">
        <v>20.5</v>
      </c>
      <c r="E40" s="46">
        <f t="shared" si="4"/>
        <v>1.7035250000000002</v>
      </c>
      <c r="F40" s="47">
        <f t="shared" si="5"/>
        <v>24.332931250000001</v>
      </c>
      <c r="G40" s="16"/>
    </row>
    <row r="41" spans="1:28" x14ac:dyDescent="0.25">
      <c r="A41" s="55">
        <v>6</v>
      </c>
      <c r="B41" s="44">
        <v>14</v>
      </c>
      <c r="C41" s="45">
        <f t="shared" si="3"/>
        <v>0.15714285714285711</v>
      </c>
      <c r="D41" s="46">
        <v>20.5</v>
      </c>
      <c r="E41" s="46">
        <f t="shared" si="4"/>
        <v>1.8022</v>
      </c>
      <c r="F41" s="47">
        <f>D41+E41*3*3/(4)</f>
        <v>24.554949999999998</v>
      </c>
      <c r="G41" s="16"/>
    </row>
    <row r="43" spans="1:28" x14ac:dyDescent="0.25">
      <c r="B43" t="s">
        <v>33</v>
      </c>
    </row>
    <row r="44" spans="1:28" ht="42" customHeight="1" x14ac:dyDescent="0.25">
      <c r="M44" s="6">
        <f>1000</f>
        <v>1000</v>
      </c>
    </row>
    <row r="47" spans="1:28" x14ac:dyDescent="0.25">
      <c r="A47" s="55" t="s">
        <v>72</v>
      </c>
      <c r="B47" s="40" t="s">
        <v>19</v>
      </c>
      <c r="C47" s="56" t="s">
        <v>69</v>
      </c>
      <c r="D47" s="42" t="s">
        <v>13</v>
      </c>
      <c r="E47" s="42" t="s">
        <v>15</v>
      </c>
      <c r="F47" s="42" t="s">
        <v>25</v>
      </c>
      <c r="G47" s="42" t="s">
        <v>22</v>
      </c>
      <c r="H47" s="42" t="s">
        <v>26</v>
      </c>
      <c r="I47" s="54" t="s">
        <v>34</v>
      </c>
      <c r="J47" s="54" t="s">
        <v>35</v>
      </c>
      <c r="K47" s="54" t="s">
        <v>36</v>
      </c>
      <c r="L47" t="s">
        <v>40</v>
      </c>
      <c r="M47" s="54" t="s">
        <v>42</v>
      </c>
      <c r="N47" s="55" t="s">
        <v>43</v>
      </c>
      <c r="O47" s="55" t="s">
        <v>73</v>
      </c>
      <c r="P47" s="55" t="s">
        <v>45</v>
      </c>
      <c r="Q47" s="55" t="s">
        <v>48</v>
      </c>
      <c r="R47" s="55" t="s">
        <v>50</v>
      </c>
      <c r="S47" s="55" t="s">
        <v>65</v>
      </c>
      <c r="T47" s="55" t="s">
        <v>70</v>
      </c>
      <c r="U47" s="55" t="s">
        <v>57</v>
      </c>
      <c r="V47" s="55" t="s">
        <v>68</v>
      </c>
      <c r="W47" s="55" t="s">
        <v>64</v>
      </c>
      <c r="X47" s="57" t="s">
        <v>71</v>
      </c>
      <c r="AA47" s="55"/>
    </row>
    <row r="48" spans="1:28" x14ac:dyDescent="0.25">
      <c r="A48" s="55">
        <v>1</v>
      </c>
      <c r="B48" s="52">
        <v>4</v>
      </c>
      <c r="C48" s="50">
        <f t="shared" ref="C48:C53" si="6">$G$6/1000*$G$5/B48</f>
        <v>0.54999999999999993</v>
      </c>
      <c r="D48" s="48">
        <v>17</v>
      </c>
      <c r="E48" s="48">
        <v>18</v>
      </c>
      <c r="F48" s="48">
        <v>0.3</v>
      </c>
      <c r="G48" s="11">
        <f>0.017*D48+0.034*E48-0.036*B48+0.007*$G$6-0.084*F48+0.374</f>
        <v>1.7218000000000004</v>
      </c>
      <c r="H48" s="11">
        <f>-0.136*D48-0.008*E48+0.052*B48+0.006*$G$6-0.213*F48+2.946</f>
        <v>1.1620999999999999</v>
      </c>
      <c r="I48" s="36">
        <f>F48*$G$6*$G$5</f>
        <v>660</v>
      </c>
      <c r="J48" s="36">
        <f>I48*(1/F48-1)</f>
        <v>1540</v>
      </c>
      <c r="K48" s="36">
        <f>C48*1000*(E48-Table1[[#This Row],[Tdp]])</f>
        <v>5185.3999999999996</v>
      </c>
      <c r="L48" s="36">
        <f>12*Design!$F$57/Design!C48</f>
        <v>3.054545454545455E-4</v>
      </c>
      <c r="M48" s="36">
        <f>D48-1.5</f>
        <v>15.5</v>
      </c>
      <c r="N48" s="36">
        <f>EXP((17.625*M48)/(243.04+M48))/EXP((17.625*F36)/(243.04+F36))/100</f>
        <v>7.2512240966463573E-3</v>
      </c>
      <c r="O48" s="66">
        <v>8.5719999999999992</v>
      </c>
      <c r="P48" s="36">
        <f>Table1[[#This Row],[HR (wa, max)]]-12*$F$57/C48</f>
        <v>6.9457695511918119E-3</v>
      </c>
      <c r="Q48" s="36">
        <f>C48*(0.01622-N48)+L48*C48</f>
        <v>5.1008267468445013E-3</v>
      </c>
      <c r="R48" s="36">
        <f>J48+K48+Q48*2257+C48*1005*(30.7-E48)</f>
        <v>13756.837565967626</v>
      </c>
      <c r="S48" s="58">
        <f>C48*1500/(0.5*1)</f>
        <v>1649.9999999999998</v>
      </c>
      <c r="T48" s="58">
        <f>S48+0.33*K48+0.5*R48</f>
        <v>10239.600782983813</v>
      </c>
      <c r="U48" s="36">
        <f t="shared" ref="U48:U53" si="7">I48/(4200*(V48-15))</f>
        <v>3.9285714285714285E-2</v>
      </c>
      <c r="V48" s="36">
        <f>2*D48-15</f>
        <v>19</v>
      </c>
      <c r="W48" s="59">
        <f>U48*9.81*4/0.8</f>
        <v>1.9269642857142857</v>
      </c>
      <c r="X48" s="60">
        <f>Table1[[#This Row],[Ppump]]+Table1[[#This Row],[E DV]]</f>
        <v>10241.527747269527</v>
      </c>
    </row>
    <row r="49" spans="1:26" x14ac:dyDescent="0.25">
      <c r="A49" s="55">
        <v>2</v>
      </c>
      <c r="B49" s="52">
        <v>6</v>
      </c>
      <c r="C49" s="50">
        <f t="shared" si="6"/>
        <v>0.36666666666666664</v>
      </c>
      <c r="D49" s="48">
        <v>17</v>
      </c>
      <c r="E49" s="48">
        <v>18</v>
      </c>
      <c r="F49" s="48">
        <v>0.35</v>
      </c>
      <c r="G49" s="11">
        <f t="shared" ref="G49:G53" si="8">0.017*D49+0.034*E49-0.036*B49+0.007*$G$6-0.084*F49+0.374</f>
        <v>1.6456</v>
      </c>
      <c r="H49" s="11">
        <f t="shared" ref="H49:H53" si="9">-0.136*D49-0.008*E49+0.052*B49+0.006*$G$6-0.213*F49+2.946</f>
        <v>1.2554499999999997</v>
      </c>
      <c r="I49" s="36">
        <f t="shared" ref="I49:I53" si="10">F49*$G$6*$G$5</f>
        <v>769.99999999999989</v>
      </c>
      <c r="J49" s="36">
        <f t="shared" ref="J49:J53" si="11">I49*(1/F49-1)</f>
        <v>1429.9999999999998</v>
      </c>
      <c r="K49" s="36">
        <f>C49*1000*(E49-Table1[[#This Row],[Tdp]])</f>
        <v>3666.2999999999997</v>
      </c>
      <c r="L49" s="36">
        <f>12*Design!$F$57/Design!C49</f>
        <v>4.5818181818181819E-4</v>
      </c>
      <c r="M49" s="36">
        <f t="shared" ref="M49:M53" si="12">D49-1.5</f>
        <v>15.5</v>
      </c>
      <c r="N49" s="36">
        <f>EXP((17.625*M49)/(243.04+M49))/EXP((17.625*F37)/(243.04+F37))/100</f>
        <v>7.1580505051518873E-3</v>
      </c>
      <c r="O49" s="65">
        <v>8.0009999999999994</v>
      </c>
      <c r="P49" s="36">
        <f>Table1[[#This Row],[HR (wa, max)]]-12*$F$57/C49</f>
        <v>6.6998686869700688E-3</v>
      </c>
      <c r="Q49" s="36">
        <f t="shared" ref="Q49:Q53" si="13">C49*(0.01622-N49)+L49*C49</f>
        <v>3.4907148147776401E-3</v>
      </c>
      <c r="R49" s="36">
        <f t="shared" ref="R49:R53" si="14">J49+K49+Q49*2257+C49*1005*(30.7-E49)</f>
        <v>9784.1285433369521</v>
      </c>
      <c r="S49" s="58">
        <f t="shared" ref="S49:S53" si="15">C49*1500/(0.5*1)</f>
        <v>1100</v>
      </c>
      <c r="T49" s="58">
        <f t="shared" ref="T49:T53" si="16">S49+0.33*K49+0.5*R49</f>
        <v>7201.943271668476</v>
      </c>
      <c r="U49" s="36">
        <f t="shared" si="7"/>
        <v>4.5833333333333323E-2</v>
      </c>
      <c r="V49" s="36">
        <f t="shared" ref="V49:V53" si="17">2*D49-15</f>
        <v>19</v>
      </c>
      <c r="W49" s="59">
        <f t="shared" ref="W49:W53" si="18">U49*9.81*4/0.8</f>
        <v>2.2481249999999995</v>
      </c>
      <c r="X49" s="60">
        <f>Table1[[#This Row],[Ppump]]+Table1[[#This Row],[E DV]]</f>
        <v>7204.191396668476</v>
      </c>
    </row>
    <row r="50" spans="1:26" x14ac:dyDescent="0.25">
      <c r="A50" s="55">
        <v>3</v>
      </c>
      <c r="B50" s="52">
        <v>8</v>
      </c>
      <c r="C50" s="50">
        <f t="shared" si="6"/>
        <v>0.27499999999999997</v>
      </c>
      <c r="D50" s="48">
        <v>16</v>
      </c>
      <c r="E50" s="48">
        <v>19</v>
      </c>
      <c r="F50" s="48">
        <v>0.47499999999999998</v>
      </c>
      <c r="G50" s="11">
        <f t="shared" si="8"/>
        <v>1.5800999999999998</v>
      </c>
      <c r="H50" s="11">
        <f t="shared" si="9"/>
        <v>1.4608249999999998</v>
      </c>
      <c r="I50" s="36">
        <f t="shared" si="10"/>
        <v>1045</v>
      </c>
      <c r="J50" s="36">
        <f t="shared" si="11"/>
        <v>1154.9999999999998</v>
      </c>
      <c r="K50" s="36">
        <f>C50*1000*(E50-Table1[[#This Row],[Tdp]])</f>
        <v>3769.974999999999</v>
      </c>
      <c r="L50" s="36">
        <f>12*Design!$F$57/Design!C50</f>
        <v>6.1090909090909099E-4</v>
      </c>
      <c r="M50" s="36">
        <f t="shared" si="12"/>
        <v>14.5</v>
      </c>
      <c r="N50" s="36">
        <f t="shared" ref="N50:N53" si="19">EXP((17.625*M50)/(243.04+M50))/EXP((17.625*F38)/(243.04+F38))/100</f>
        <v>6.1376780876617135E-3</v>
      </c>
      <c r="O50" s="65">
        <v>5.2910000000000004</v>
      </c>
      <c r="P50" s="36">
        <f>Table1[[#This Row],[HR (wa, max)]]-12*$F$57/C50</f>
        <v>5.5267689967526228E-3</v>
      </c>
      <c r="Q50" s="36">
        <f t="shared" si="13"/>
        <v>2.9406385258930281E-3</v>
      </c>
      <c r="R50" s="36">
        <f t="shared" si="14"/>
        <v>8165.1995211529375</v>
      </c>
      <c r="S50" s="58">
        <f t="shared" si="15"/>
        <v>824.99999999999989</v>
      </c>
      <c r="T50" s="58">
        <f t="shared" si="16"/>
        <v>6151.6915105764683</v>
      </c>
      <c r="U50" s="36">
        <f t="shared" si="7"/>
        <v>0.12440476190476191</v>
      </c>
      <c r="V50" s="36">
        <f t="shared" si="17"/>
        <v>17</v>
      </c>
      <c r="W50" s="59">
        <f t="shared" si="18"/>
        <v>6.1020535714285717</v>
      </c>
      <c r="X50" s="60">
        <f>Table1[[#This Row],[Ppump]]+Table1[[#This Row],[E DV]]</f>
        <v>6157.7935641478971</v>
      </c>
    </row>
    <row r="51" spans="1:26" x14ac:dyDescent="0.25">
      <c r="A51" s="55">
        <v>4</v>
      </c>
      <c r="B51" s="52">
        <v>10</v>
      </c>
      <c r="C51" s="50">
        <f t="shared" si="6"/>
        <v>0.21999999999999997</v>
      </c>
      <c r="D51" s="48">
        <v>16</v>
      </c>
      <c r="E51" s="48">
        <v>19</v>
      </c>
      <c r="F51" s="48">
        <v>0.52500000000000002</v>
      </c>
      <c r="G51" s="11">
        <f t="shared" si="8"/>
        <v>1.5038999999999998</v>
      </c>
      <c r="H51" s="11">
        <f t="shared" si="9"/>
        <v>1.5541749999999999</v>
      </c>
      <c r="I51" s="36">
        <f t="shared" si="10"/>
        <v>1155</v>
      </c>
      <c r="J51" s="36">
        <f t="shared" si="11"/>
        <v>1044.9999999999998</v>
      </c>
      <c r="K51" s="36">
        <f>C51*1000*(E51-Table1[[#This Row],[Tdp]])</f>
        <v>3149.9599999999996</v>
      </c>
      <c r="L51" s="36">
        <f>12*Design!$F$57/Design!C51</f>
        <v>7.6363636363636369E-4</v>
      </c>
      <c r="M51" s="36">
        <f t="shared" si="12"/>
        <v>14.5</v>
      </c>
      <c r="N51" s="36">
        <f t="shared" si="19"/>
        <v>6.059797057946634E-3</v>
      </c>
      <c r="O51" s="65">
        <v>4.6820000000000004</v>
      </c>
      <c r="P51" s="36">
        <f>Table1[[#This Row],[HR (wa, max)]]-12*$F$57/C51</f>
        <v>5.2961606943102701E-3</v>
      </c>
      <c r="Q51" s="36">
        <f t="shared" si="13"/>
        <v>2.4032446472517402E-3</v>
      </c>
      <c r="R51" s="36">
        <f t="shared" si="14"/>
        <v>6787.2541231688465</v>
      </c>
      <c r="S51" s="58">
        <f t="shared" si="15"/>
        <v>659.99999999999989</v>
      </c>
      <c r="T51" s="58">
        <f t="shared" si="16"/>
        <v>5093.1138615844229</v>
      </c>
      <c r="U51" s="36">
        <f t="shared" si="7"/>
        <v>0.13750000000000001</v>
      </c>
      <c r="V51" s="36">
        <f t="shared" si="17"/>
        <v>17</v>
      </c>
      <c r="W51" s="59">
        <f t="shared" si="18"/>
        <v>6.7443750000000007</v>
      </c>
      <c r="X51" s="60">
        <f>Table1[[#This Row],[Ppump]]+Table1[[#This Row],[E DV]]</f>
        <v>5099.8582365844231</v>
      </c>
    </row>
    <row r="52" spans="1:26" x14ac:dyDescent="0.25">
      <c r="A52" s="55">
        <v>5</v>
      </c>
      <c r="B52" s="53">
        <v>12</v>
      </c>
      <c r="C52" s="51">
        <f t="shared" si="6"/>
        <v>0.18333333333333332</v>
      </c>
      <c r="D52" s="49">
        <v>15.5</v>
      </c>
      <c r="E52" s="49">
        <v>20.5</v>
      </c>
      <c r="F52" s="49">
        <v>0.57499999999999996</v>
      </c>
      <c r="G52" s="11">
        <f t="shared" si="8"/>
        <v>1.4702000000000002</v>
      </c>
      <c r="H52" s="11">
        <f t="shared" si="9"/>
        <v>1.7035250000000002</v>
      </c>
      <c r="I52" s="36">
        <f t="shared" si="10"/>
        <v>1264.9999999999998</v>
      </c>
      <c r="J52" s="36">
        <f t="shared" si="11"/>
        <v>935</v>
      </c>
      <c r="K52" s="36">
        <f>C52*1000*(E52-Table1[[#This Row],[Tdp]])</f>
        <v>3415.3166666666666</v>
      </c>
      <c r="L52" s="36">
        <f>12*Design!$F$57/Design!C52</f>
        <v>9.1636363636363638E-4</v>
      </c>
      <c r="M52" s="36">
        <f t="shared" si="12"/>
        <v>14</v>
      </c>
      <c r="N52" s="36">
        <f t="shared" si="19"/>
        <v>5.2516690327034186E-3</v>
      </c>
      <c r="O52" s="65">
        <v>1.871</v>
      </c>
      <c r="P52" s="36">
        <f>Table1[[#This Row],[HR (wa, max)]]-12*$F$57/C52</f>
        <v>4.3353053963397824E-3</v>
      </c>
      <c r="Q52" s="36">
        <f t="shared" si="13"/>
        <v>2.1788606773377062E-3</v>
      </c>
      <c r="R52" s="36">
        <f t="shared" si="14"/>
        <v>6234.5843552154183</v>
      </c>
      <c r="S52" s="58">
        <f t="shared" si="15"/>
        <v>550</v>
      </c>
      <c r="T52" s="58">
        <f t="shared" si="16"/>
        <v>4794.3466776077094</v>
      </c>
      <c r="U52" s="36">
        <f t="shared" si="7"/>
        <v>0.30119047619047612</v>
      </c>
      <c r="V52" s="36">
        <f t="shared" si="17"/>
        <v>16</v>
      </c>
      <c r="W52" s="59">
        <f t="shared" si="18"/>
        <v>14.773392857142854</v>
      </c>
      <c r="X52" s="60">
        <f>Table1[[#This Row],[Ppump]]+Table1[[#This Row],[E DV]]</f>
        <v>4809.1200704648518</v>
      </c>
    </row>
    <row r="53" spans="1:26" x14ac:dyDescent="0.25">
      <c r="A53" s="55">
        <v>6</v>
      </c>
      <c r="B53" s="53">
        <v>14</v>
      </c>
      <c r="C53" s="51">
        <f t="shared" si="6"/>
        <v>0.15714285714285711</v>
      </c>
      <c r="D53" s="49">
        <v>15.5</v>
      </c>
      <c r="E53" s="49">
        <v>20.5</v>
      </c>
      <c r="F53" s="49">
        <v>0.6</v>
      </c>
      <c r="G53" s="46">
        <f t="shared" si="8"/>
        <v>1.3961000000000001</v>
      </c>
      <c r="H53" s="46">
        <f t="shared" si="9"/>
        <v>1.8022</v>
      </c>
      <c r="I53" s="61">
        <f t="shared" si="10"/>
        <v>1320</v>
      </c>
      <c r="J53" s="61">
        <f t="shared" si="11"/>
        <v>880.00000000000011</v>
      </c>
      <c r="K53" s="61">
        <f>C53*1000*(E53-Table1[[#This Row],[Tdp]])</f>
        <v>3041.9714285714281</v>
      </c>
      <c r="L53" s="61">
        <f>12*Design!$F$57/Design!C53</f>
        <v>1.0690909090909093E-3</v>
      </c>
      <c r="M53" s="61">
        <f t="shared" si="12"/>
        <v>14</v>
      </c>
      <c r="N53" s="61">
        <f t="shared" si="19"/>
        <v>5.1823240032059245E-3</v>
      </c>
      <c r="O53" s="61">
        <v>1.1419999999999999</v>
      </c>
      <c r="P53" s="61">
        <f>Table1[[#This Row],[HR (wa, max)]]-12*$F$57/C53</f>
        <v>4.1132330941150153E-3</v>
      </c>
      <c r="Q53" s="61">
        <f t="shared" si="13"/>
        <v>1.9024919423533543E-3</v>
      </c>
      <c r="R53" s="61">
        <f t="shared" si="14"/>
        <v>5537.1367814567475</v>
      </c>
      <c r="S53" s="62">
        <f t="shared" si="15"/>
        <v>471.42857142857133</v>
      </c>
      <c r="T53" s="62">
        <f t="shared" si="16"/>
        <v>4243.8475335855164</v>
      </c>
      <c r="U53" s="61">
        <f t="shared" si="7"/>
        <v>0.31428571428571428</v>
      </c>
      <c r="V53" s="61">
        <f t="shared" si="17"/>
        <v>16</v>
      </c>
      <c r="W53" s="63">
        <f t="shared" si="18"/>
        <v>15.415714285714285</v>
      </c>
      <c r="X53" s="60">
        <f>Table1[[#This Row],[Ppump]]+Table1[[#This Row],[E DV]]</f>
        <v>4259.2632478712303</v>
      </c>
    </row>
    <row r="55" spans="1:26" x14ac:dyDescent="0.25">
      <c r="B55" s="78" t="s">
        <v>37</v>
      </c>
      <c r="C55" s="78"/>
      <c r="D55" s="78"/>
      <c r="E55" s="78"/>
      <c r="F55" s="78"/>
      <c r="G55" s="78"/>
      <c r="H55" s="78"/>
      <c r="I55" s="78"/>
      <c r="J55" s="78"/>
      <c r="K55" s="78"/>
    </row>
    <row r="56" spans="1:26" ht="29.25" customHeight="1" x14ac:dyDescent="0.25">
      <c r="E56" t="s">
        <v>38</v>
      </c>
    </row>
    <row r="57" spans="1:26" x14ac:dyDescent="0.25">
      <c r="E57" t="s">
        <v>39</v>
      </c>
      <c r="F57">
        <v>1.4E-5</v>
      </c>
    </row>
    <row r="59" spans="1:26" ht="31.5" customHeight="1" x14ac:dyDescent="0.25">
      <c r="B59" s="79" t="s">
        <v>41</v>
      </c>
      <c r="C59" s="79"/>
      <c r="D59" s="79"/>
      <c r="E59" s="79"/>
      <c r="F59" s="79"/>
      <c r="G59" s="79"/>
      <c r="H59" s="79"/>
      <c r="I59" s="79"/>
      <c r="J59" s="79"/>
      <c r="K59" s="79"/>
    </row>
    <row r="63" spans="1:26" ht="33.75" customHeight="1" x14ac:dyDescent="0.25">
      <c r="B63" s="80" t="s">
        <v>44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  <c r="Y63" s="55"/>
      <c r="Z63" s="55"/>
    </row>
    <row r="64" spans="1:26" x14ac:dyDescent="0.25">
      <c r="Y64" s="55"/>
      <c r="Z64" s="65"/>
    </row>
    <row r="65" spans="2:26" x14ac:dyDescent="0.25">
      <c r="Y65" s="55"/>
      <c r="Z65" s="65"/>
    </row>
    <row r="66" spans="2:26" x14ac:dyDescent="0.25">
      <c r="Y66" s="55"/>
      <c r="Z66" s="65"/>
    </row>
    <row r="67" spans="2:26" x14ac:dyDescent="0.25">
      <c r="B67" s="22" t="s">
        <v>47</v>
      </c>
      <c r="C67" s="22"/>
      <c r="D67" s="22"/>
      <c r="E67" s="22"/>
      <c r="F67" s="22"/>
      <c r="G67" s="22"/>
      <c r="H67" s="22"/>
      <c r="Y67" s="55"/>
      <c r="Z67" s="65"/>
    </row>
    <row r="68" spans="2:26" ht="43.5" customHeight="1" x14ac:dyDescent="0.25">
      <c r="Y68" s="55"/>
      <c r="Z68" s="65"/>
    </row>
    <row r="69" spans="2:26" x14ac:dyDescent="0.25">
      <c r="Y69" s="55"/>
      <c r="Z69" s="61"/>
    </row>
    <row r="72" spans="2:26" x14ac:dyDescent="0.25">
      <c r="B72" s="20" t="s">
        <v>49</v>
      </c>
      <c r="C72" s="20"/>
      <c r="D72" s="20"/>
      <c r="E72" s="20"/>
      <c r="F72" s="20"/>
      <c r="G72" s="20"/>
      <c r="H72" s="20"/>
    </row>
    <row r="78" spans="2:26" x14ac:dyDescent="0.25">
      <c r="B78" s="18" t="s">
        <v>51</v>
      </c>
      <c r="C78" s="18"/>
      <c r="D78" s="18"/>
      <c r="E78" s="18"/>
    </row>
    <row r="83" spans="2:10" x14ac:dyDescent="0.25">
      <c r="B83" s="26" t="s">
        <v>52</v>
      </c>
      <c r="C83" s="26"/>
      <c r="D83" s="26"/>
      <c r="E83" s="26"/>
      <c r="F83" s="26"/>
      <c r="G83" s="26"/>
    </row>
    <row r="87" spans="2:10" x14ac:dyDescent="0.25">
      <c r="B87" s="27" t="s">
        <v>54</v>
      </c>
      <c r="C87" s="27"/>
      <c r="D87" s="27"/>
      <c r="E87" s="27"/>
      <c r="F87" s="27"/>
      <c r="G87" s="27"/>
      <c r="H87" s="27"/>
      <c r="I87" s="27"/>
    </row>
    <row r="90" spans="2:10" x14ac:dyDescent="0.25">
      <c r="B90" t="s">
        <v>57</v>
      </c>
      <c r="C90" t="s">
        <v>58</v>
      </c>
    </row>
    <row r="92" spans="2:10" x14ac:dyDescent="0.25">
      <c r="B92" s="32" t="s">
        <v>59</v>
      </c>
      <c r="C92" s="32"/>
      <c r="D92" s="32"/>
      <c r="E92" s="32"/>
      <c r="F92" s="32"/>
      <c r="G92" s="32"/>
      <c r="H92" s="32"/>
      <c r="I92" s="32"/>
      <c r="J92" s="32"/>
    </row>
    <row r="96" spans="2:10" x14ac:dyDescent="0.25">
      <c r="B96" t="s">
        <v>55</v>
      </c>
    </row>
    <row r="97" spans="2:17" x14ac:dyDescent="0.25">
      <c r="B97" t="s">
        <v>56</v>
      </c>
    </row>
    <row r="99" spans="2:17" x14ac:dyDescent="0.25">
      <c r="B99" s="33" t="s">
        <v>61</v>
      </c>
      <c r="C99" s="33"/>
      <c r="D99" s="33"/>
      <c r="E99" s="33"/>
      <c r="F99" s="33"/>
    </row>
    <row r="100" spans="2:17" x14ac:dyDescent="0.25">
      <c r="G100" t="s">
        <v>62</v>
      </c>
    </row>
    <row r="101" spans="2:17" x14ac:dyDescent="0.25">
      <c r="G101" t="s">
        <v>63</v>
      </c>
    </row>
    <row r="105" spans="2:17" x14ac:dyDescent="0.25">
      <c r="B105" s="9" t="s">
        <v>66</v>
      </c>
    </row>
    <row r="107" spans="2:17" x14ac:dyDescent="0.25">
      <c r="B107" s="8" t="s">
        <v>19</v>
      </c>
      <c r="C107" s="2"/>
      <c r="D107" s="8" t="s">
        <v>13</v>
      </c>
      <c r="E107" s="8" t="s">
        <v>15</v>
      </c>
      <c r="F107" s="8" t="s">
        <v>25</v>
      </c>
      <c r="G107" s="8" t="s">
        <v>22</v>
      </c>
      <c r="H107" s="8" t="s">
        <v>26</v>
      </c>
    </row>
    <row r="108" spans="2:17" x14ac:dyDescent="0.25">
      <c r="B108" s="11">
        <v>8</v>
      </c>
      <c r="C108" s="14">
        <f t="shared" ref="C108" si="20">$G$6/1000*$G$5/B108</f>
        <v>0.27499999999999997</v>
      </c>
      <c r="D108" s="11">
        <v>16</v>
      </c>
      <c r="E108" s="11">
        <v>19</v>
      </c>
      <c r="F108" s="11">
        <v>0.5</v>
      </c>
      <c r="G108" s="11">
        <f t="shared" ref="G108" si="21">0.017*D108+0.034*E108-0.036*B108+0.007*$G$6-0.084*F108+0.374</f>
        <v>1.5779999999999998</v>
      </c>
      <c r="H108" s="11">
        <f t="shared" ref="H108" si="22">-0.136*D108-0.008*E108+0.052*B108+0.006*$G$6-0.213*F108+2.946</f>
        <v>1.4554999999999998</v>
      </c>
    </row>
    <row r="109" spans="2:17" x14ac:dyDescent="0.25">
      <c r="B109" s="11">
        <v>10</v>
      </c>
      <c r="C109" s="14"/>
      <c r="D109" s="11"/>
      <c r="E109" s="11"/>
      <c r="F109" s="11"/>
      <c r="G109" s="11"/>
      <c r="H109" s="11"/>
    </row>
    <row r="110" spans="2:17" x14ac:dyDescent="0.25">
      <c r="B110" s="11">
        <v>12</v>
      </c>
      <c r="C110" s="14"/>
      <c r="D110" s="11"/>
      <c r="E110" s="11"/>
      <c r="F110" s="11"/>
      <c r="G110" s="11"/>
      <c r="H110" s="11"/>
    </row>
    <row r="112" spans="2:17" ht="35.25" customHeight="1" x14ac:dyDescent="0.25">
      <c r="B112" s="81" t="s">
        <v>67</v>
      </c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</row>
    <row r="113" spans="2:23" ht="15.75" x14ac:dyDescent="0.3">
      <c r="B113" s="35"/>
    </row>
    <row r="114" spans="2:23" x14ac:dyDescent="0.25">
      <c r="B114" s="8" t="s">
        <v>19</v>
      </c>
      <c r="C114" s="2"/>
      <c r="D114" s="8" t="s">
        <v>13</v>
      </c>
      <c r="E114" s="8" t="s">
        <v>15</v>
      </c>
      <c r="F114" s="8" t="s">
        <v>25</v>
      </c>
      <c r="G114" s="8" t="s">
        <v>22</v>
      </c>
      <c r="H114" s="8" t="s">
        <v>26</v>
      </c>
      <c r="I114" s="17" t="s">
        <v>34</v>
      </c>
      <c r="J114" s="17" t="s">
        <v>35</v>
      </c>
      <c r="K114" s="17" t="s">
        <v>36</v>
      </c>
      <c r="L114" s="25" t="s">
        <v>40</v>
      </c>
      <c r="M114" s="17" t="s">
        <v>42</v>
      </c>
      <c r="N114" s="24" t="s">
        <v>43</v>
      </c>
      <c r="O114" s="24"/>
      <c r="P114" s="29" t="s">
        <v>45</v>
      </c>
      <c r="Q114" s="23" t="s">
        <v>48</v>
      </c>
      <c r="R114" s="21" t="s">
        <v>50</v>
      </c>
      <c r="S114" s="19" t="s">
        <v>65</v>
      </c>
      <c r="T114" s="28" t="s">
        <v>53</v>
      </c>
      <c r="U114" s="30" t="s">
        <v>57</v>
      </c>
      <c r="V114" s="31" t="s">
        <v>60</v>
      </c>
      <c r="W114" s="25" t="s">
        <v>64</v>
      </c>
    </row>
    <row r="115" spans="2:23" x14ac:dyDescent="0.25">
      <c r="B115" s="11">
        <v>8</v>
      </c>
      <c r="C115" s="14">
        <f t="shared" ref="C115" si="23">$G$6/1000*$G$5/B115</f>
        <v>0.27499999999999997</v>
      </c>
      <c r="D115" s="11">
        <v>16</v>
      </c>
      <c r="E115" s="11">
        <v>19</v>
      </c>
      <c r="F115" s="11">
        <v>0.5</v>
      </c>
      <c r="G115" s="11">
        <f t="shared" ref="G115" si="24">0.017*D115+0.034*E115-0.036*B115+0.007*$G$6-0.084*F115+0.374</f>
        <v>1.5779999999999998</v>
      </c>
      <c r="H115" s="11">
        <f t="shared" ref="H115" si="25">-0.136*D115-0.008*E115+0.052*B115+0.006*$G$6-0.213*F115+2.946</f>
        <v>1.4554999999999998</v>
      </c>
      <c r="I115" s="2">
        <f t="shared" ref="I115" si="26">F115*$G$6*$G$5</f>
        <v>1100</v>
      </c>
      <c r="J115" s="2">
        <f t="shared" ref="J115" si="27">I115*(1/F115-1)</f>
        <v>1100</v>
      </c>
      <c r="K115" s="2"/>
      <c r="L115" s="2">
        <f>'Load Data'!$N$8*Design!$F$57/Design!C115</f>
        <v>6.1090909090909099E-4</v>
      </c>
      <c r="M115" s="2">
        <f t="shared" ref="M115" si="28">D115-1.5</f>
        <v>14.5</v>
      </c>
      <c r="N115" s="2">
        <f>EXP((17.625*M115)/(243.04+M115))/EXP((17.625*F108)/(243.04+F108))/100</f>
        <v>2.60162580748265E-2</v>
      </c>
      <c r="O115" s="2"/>
      <c r="P115" s="2">
        <f>N115*M115-'Load Data'!$N$8*$F$57/C115</f>
        <v>0.37662483299407512</v>
      </c>
      <c r="Q115" s="2">
        <f t="shared" ref="Q115" si="29">C115*(0.01546-N115)+0.05</f>
        <v>4.7097029029422713E-2</v>
      </c>
      <c r="R115" s="2"/>
      <c r="S115" s="34"/>
      <c r="T115" s="34">
        <f t="shared" ref="T115" si="30">0.5*R115+0.33*K115+S115</f>
        <v>0</v>
      </c>
      <c r="U115" s="12"/>
      <c r="V115" s="2"/>
      <c r="W115" s="2"/>
    </row>
    <row r="116" spans="2:23" x14ac:dyDescent="0.2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2:23" x14ac:dyDescent="0.25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2:23" x14ac:dyDescent="0.25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</sheetData>
  <mergeCells count="10">
    <mergeCell ref="B55:K55"/>
    <mergeCell ref="B59:K59"/>
    <mergeCell ref="B63:L63"/>
    <mergeCell ref="B112:Q112"/>
    <mergeCell ref="C2:U3"/>
    <mergeCell ref="C7:E7"/>
    <mergeCell ref="C13:E13"/>
    <mergeCell ref="C6:E6"/>
    <mergeCell ref="B14:H14"/>
    <mergeCell ref="B31:I31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DSMT4" shapeId="1029" r:id="rId4">
          <objectPr defaultSize="0" autoPict="0" r:id="rId5">
            <anchor moveWithCells="1" sizeWithCells="1">
              <from>
                <xdr:col>1</xdr:col>
                <xdr:colOff>0</xdr:colOff>
                <xdr:row>73</xdr:row>
                <xdr:rowOff>0</xdr:rowOff>
              </from>
              <to>
                <xdr:col>5</xdr:col>
                <xdr:colOff>304800</xdr:colOff>
                <xdr:row>74</xdr:row>
                <xdr:rowOff>47625</xdr:rowOff>
              </to>
            </anchor>
          </objectPr>
        </oleObject>
      </mc:Choice>
      <mc:Fallback>
        <oleObject progId="Equation.DSMT4" shapeId="1029" r:id="rId4"/>
      </mc:Fallback>
    </mc:AlternateContent>
  </oleObjects>
  <tableParts count="5">
    <tablePart r:id="rId6"/>
    <tablePart r:id="rId7"/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topLeftCell="A16" workbookViewId="0">
      <selection activeCell="V17" sqref="V17:AG25"/>
    </sheetView>
  </sheetViews>
  <sheetFormatPr defaultRowHeight="15" x14ac:dyDescent="0.25"/>
  <cols>
    <col min="2" max="2" width="25.140625" customWidth="1"/>
  </cols>
  <sheetData>
    <row r="1" spans="1:18" ht="18.75" x14ac:dyDescent="0.3">
      <c r="A1" s="87" t="s">
        <v>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</row>
    <row r="3" spans="1:18" x14ac:dyDescent="0.25">
      <c r="A3" s="88" t="s">
        <v>1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</row>
    <row r="5" spans="1:18" x14ac:dyDescent="0.25">
      <c r="B5" s="89" t="s">
        <v>4</v>
      </c>
      <c r="C5" s="89"/>
      <c r="D5" s="2">
        <v>25</v>
      </c>
      <c r="F5" s="89" t="s">
        <v>5</v>
      </c>
      <c r="G5" s="89"/>
      <c r="H5" s="2">
        <v>3</v>
      </c>
      <c r="J5" s="89" t="s">
        <v>8</v>
      </c>
      <c r="K5" s="89"/>
      <c r="L5" s="2">
        <v>100</v>
      </c>
      <c r="N5" s="89" t="s">
        <v>9</v>
      </c>
      <c r="O5" s="89"/>
      <c r="P5" s="89"/>
      <c r="Q5" s="89"/>
      <c r="R5" s="2">
        <v>1000</v>
      </c>
    </row>
    <row r="7" spans="1:18" x14ac:dyDescent="0.25">
      <c r="B7" s="4" t="s">
        <v>2</v>
      </c>
      <c r="C7" s="1">
        <v>1</v>
      </c>
      <c r="D7" s="1">
        <v>2</v>
      </c>
      <c r="E7" s="1">
        <v>3</v>
      </c>
      <c r="F7" s="1">
        <v>4</v>
      </c>
      <c r="G7" s="1">
        <v>5</v>
      </c>
      <c r="H7" s="1">
        <v>6</v>
      </c>
      <c r="I7" s="1">
        <v>7</v>
      </c>
      <c r="J7" s="1">
        <v>8</v>
      </c>
      <c r="K7" s="1">
        <v>9</v>
      </c>
      <c r="L7" s="1">
        <v>10</v>
      </c>
      <c r="M7" s="1">
        <v>11</v>
      </c>
      <c r="N7" s="1">
        <v>12</v>
      </c>
    </row>
    <row r="8" spans="1:18" ht="27" customHeight="1" x14ac:dyDescent="0.25">
      <c r="B8" s="3" t="s">
        <v>3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</v>
      </c>
      <c r="J8" s="2">
        <v>4</v>
      </c>
      <c r="K8" s="2">
        <v>5</v>
      </c>
      <c r="L8" s="2">
        <v>10</v>
      </c>
      <c r="M8" s="2">
        <v>10</v>
      </c>
      <c r="N8" s="2">
        <v>12</v>
      </c>
    </row>
    <row r="9" spans="1:18" ht="30" x14ac:dyDescent="0.25">
      <c r="B9" s="3" t="s">
        <v>6</v>
      </c>
      <c r="C9" s="2">
        <f>C8*$L$5/$D$5</f>
        <v>0</v>
      </c>
      <c r="D9" s="2">
        <f t="shared" ref="D9:N9" si="0">D8*$L$5/$D$5</f>
        <v>0</v>
      </c>
      <c r="E9" s="2">
        <f>E8*$L$5/$D$5</f>
        <v>0</v>
      </c>
      <c r="F9" s="2">
        <f t="shared" si="0"/>
        <v>0</v>
      </c>
      <c r="G9" s="2">
        <f t="shared" si="0"/>
        <v>0</v>
      </c>
      <c r="H9" s="2">
        <f t="shared" si="0"/>
        <v>0</v>
      </c>
      <c r="I9" s="2">
        <f t="shared" si="0"/>
        <v>4</v>
      </c>
      <c r="J9" s="2">
        <f t="shared" si="0"/>
        <v>16</v>
      </c>
      <c r="K9" s="2">
        <f t="shared" si="0"/>
        <v>20</v>
      </c>
      <c r="L9" s="2">
        <f t="shared" si="0"/>
        <v>40</v>
      </c>
      <c r="M9" s="2">
        <f t="shared" si="0"/>
        <v>40</v>
      </c>
      <c r="N9" s="2">
        <f t="shared" si="0"/>
        <v>48</v>
      </c>
    </row>
    <row r="10" spans="1:18" ht="30" x14ac:dyDescent="0.25">
      <c r="B10" s="3" t="s">
        <v>7</v>
      </c>
      <c r="C10" s="2">
        <f>$R$5/$D$5</f>
        <v>40</v>
      </c>
      <c r="D10" s="2">
        <f t="shared" ref="D10:N10" si="1">$R$5/$D$5</f>
        <v>40</v>
      </c>
      <c r="E10" s="2">
        <f t="shared" si="1"/>
        <v>40</v>
      </c>
      <c r="F10" s="2">
        <f t="shared" si="1"/>
        <v>40</v>
      </c>
      <c r="G10" s="2">
        <f t="shared" si="1"/>
        <v>40</v>
      </c>
      <c r="H10" s="2">
        <f t="shared" si="1"/>
        <v>40</v>
      </c>
      <c r="I10" s="2">
        <f t="shared" si="1"/>
        <v>40</v>
      </c>
      <c r="J10" s="2">
        <f t="shared" si="1"/>
        <v>40</v>
      </c>
      <c r="K10" s="2">
        <f t="shared" si="1"/>
        <v>40</v>
      </c>
      <c r="L10" s="2">
        <f t="shared" si="1"/>
        <v>40</v>
      </c>
      <c r="M10" s="2">
        <f t="shared" si="1"/>
        <v>40</v>
      </c>
      <c r="N10" s="2">
        <f t="shared" si="1"/>
        <v>40</v>
      </c>
    </row>
    <row r="11" spans="1:18" x14ac:dyDescent="0.25">
      <c r="B11" s="5" t="s">
        <v>10</v>
      </c>
      <c r="C11" s="2">
        <f>C10+C9</f>
        <v>40</v>
      </c>
      <c r="D11" s="2">
        <f t="shared" ref="D11:N11" si="2">D10+D9</f>
        <v>40</v>
      </c>
      <c r="E11" s="2">
        <f t="shared" si="2"/>
        <v>40</v>
      </c>
      <c r="F11" s="2">
        <f>F10+F9</f>
        <v>40</v>
      </c>
      <c r="G11" s="2">
        <f t="shared" si="2"/>
        <v>40</v>
      </c>
      <c r="H11" s="2">
        <f t="shared" si="2"/>
        <v>40</v>
      </c>
      <c r="I11" s="2">
        <f t="shared" si="2"/>
        <v>44</v>
      </c>
      <c r="J11" s="2">
        <f t="shared" si="2"/>
        <v>56</v>
      </c>
      <c r="K11" s="2">
        <f t="shared" si="2"/>
        <v>60</v>
      </c>
      <c r="L11" s="2">
        <f t="shared" si="2"/>
        <v>80</v>
      </c>
      <c r="M11" s="2">
        <f t="shared" si="2"/>
        <v>80</v>
      </c>
      <c r="N11" s="2">
        <f t="shared" si="2"/>
        <v>88</v>
      </c>
    </row>
    <row r="12" spans="1:18" x14ac:dyDescent="0.25">
      <c r="B12" s="4" t="s">
        <v>2</v>
      </c>
      <c r="C12" s="1">
        <v>13</v>
      </c>
      <c r="D12" s="1">
        <v>14</v>
      </c>
      <c r="E12" s="1">
        <v>15</v>
      </c>
      <c r="F12" s="1">
        <v>16</v>
      </c>
      <c r="G12" s="1">
        <v>17</v>
      </c>
      <c r="H12" s="1">
        <v>18</v>
      </c>
      <c r="I12" s="1">
        <v>19</v>
      </c>
      <c r="J12" s="1">
        <v>20</v>
      </c>
      <c r="K12" s="1">
        <v>21</v>
      </c>
      <c r="L12" s="1">
        <v>22</v>
      </c>
      <c r="M12" s="1">
        <v>23</v>
      </c>
      <c r="N12" s="1">
        <v>24</v>
      </c>
    </row>
    <row r="13" spans="1:18" x14ac:dyDescent="0.25">
      <c r="B13" s="3" t="s">
        <v>3</v>
      </c>
      <c r="C13" s="2">
        <v>12</v>
      </c>
      <c r="D13" s="2">
        <v>10</v>
      </c>
      <c r="E13" s="2">
        <v>10</v>
      </c>
      <c r="F13" s="2">
        <v>10</v>
      </c>
      <c r="G13" s="2">
        <v>8</v>
      </c>
      <c r="H13" s="2">
        <v>7</v>
      </c>
      <c r="I13" s="2">
        <v>7</v>
      </c>
      <c r="J13" s="2">
        <v>6</v>
      </c>
      <c r="K13" s="2">
        <v>4</v>
      </c>
      <c r="L13" s="2">
        <v>2</v>
      </c>
      <c r="M13" s="2">
        <v>0</v>
      </c>
      <c r="N13" s="2">
        <v>0</v>
      </c>
    </row>
    <row r="14" spans="1:18" ht="30" x14ac:dyDescent="0.25">
      <c r="B14" s="3" t="s">
        <v>6</v>
      </c>
      <c r="C14" s="2">
        <f>C13*$L$5/$D$5</f>
        <v>48</v>
      </c>
      <c r="D14" s="2">
        <f t="shared" ref="D14:N14" si="3">D13*$L$5/$D$5</f>
        <v>40</v>
      </c>
      <c r="E14" s="2">
        <f t="shared" si="3"/>
        <v>40</v>
      </c>
      <c r="F14" s="2">
        <f t="shared" si="3"/>
        <v>40</v>
      </c>
      <c r="G14" s="2">
        <f t="shared" si="3"/>
        <v>32</v>
      </c>
      <c r="H14" s="2">
        <f t="shared" si="3"/>
        <v>28</v>
      </c>
      <c r="I14" s="2">
        <f t="shared" si="3"/>
        <v>28</v>
      </c>
      <c r="J14" s="2">
        <f t="shared" si="3"/>
        <v>24</v>
      </c>
      <c r="K14" s="2">
        <f t="shared" si="3"/>
        <v>16</v>
      </c>
      <c r="L14" s="2">
        <f t="shared" si="3"/>
        <v>8</v>
      </c>
      <c r="M14" s="2">
        <f t="shared" si="3"/>
        <v>0</v>
      </c>
      <c r="N14" s="2">
        <f t="shared" si="3"/>
        <v>0</v>
      </c>
    </row>
    <row r="15" spans="1:18" ht="30" x14ac:dyDescent="0.25">
      <c r="B15" s="3" t="s">
        <v>7</v>
      </c>
      <c r="C15" s="2">
        <f>$R$5/$D$5</f>
        <v>40</v>
      </c>
      <c r="D15" s="2">
        <f t="shared" ref="D15:N15" si="4">$R$5/$D$5</f>
        <v>40</v>
      </c>
      <c r="E15" s="2">
        <f t="shared" si="4"/>
        <v>40</v>
      </c>
      <c r="F15" s="2">
        <f t="shared" si="4"/>
        <v>40</v>
      </c>
      <c r="G15" s="2">
        <f t="shared" si="4"/>
        <v>40</v>
      </c>
      <c r="H15" s="2">
        <f t="shared" si="4"/>
        <v>40</v>
      </c>
      <c r="I15" s="2">
        <f t="shared" si="4"/>
        <v>40</v>
      </c>
      <c r="J15" s="2">
        <f t="shared" si="4"/>
        <v>40</v>
      </c>
      <c r="K15" s="2">
        <f t="shared" si="4"/>
        <v>40</v>
      </c>
      <c r="L15" s="2">
        <f t="shared" si="4"/>
        <v>40</v>
      </c>
      <c r="M15" s="2">
        <f t="shared" si="4"/>
        <v>40</v>
      </c>
      <c r="N15" s="2">
        <f t="shared" si="4"/>
        <v>40</v>
      </c>
    </row>
    <row r="16" spans="1:18" x14ac:dyDescent="0.25">
      <c r="B16" s="5" t="s">
        <v>10</v>
      </c>
      <c r="C16" s="37">
        <f>C15+C14</f>
        <v>88</v>
      </c>
      <c r="D16" s="2">
        <f t="shared" ref="D16:N16" si="5">D15+D14</f>
        <v>80</v>
      </c>
      <c r="E16" s="2">
        <f t="shared" si="5"/>
        <v>80</v>
      </c>
      <c r="F16" s="2">
        <f t="shared" si="5"/>
        <v>80</v>
      </c>
      <c r="G16" s="2">
        <f t="shared" si="5"/>
        <v>72</v>
      </c>
      <c r="H16" s="2">
        <f t="shared" si="5"/>
        <v>68</v>
      </c>
      <c r="I16" s="2">
        <f t="shared" si="5"/>
        <v>68</v>
      </c>
      <c r="J16" s="2">
        <f t="shared" si="5"/>
        <v>64</v>
      </c>
      <c r="K16" s="2">
        <f t="shared" si="5"/>
        <v>56</v>
      </c>
      <c r="L16" s="2">
        <f t="shared" si="5"/>
        <v>48</v>
      </c>
      <c r="M16" s="2">
        <f t="shared" si="5"/>
        <v>40</v>
      </c>
      <c r="N16" s="2">
        <f t="shared" si="5"/>
        <v>40</v>
      </c>
    </row>
    <row r="18" spans="2:11" ht="60" customHeight="1" x14ac:dyDescent="0.25">
      <c r="B18" s="86" t="s">
        <v>11</v>
      </c>
      <c r="C18" s="86"/>
      <c r="D18" s="86"/>
      <c r="E18" s="86"/>
      <c r="F18" s="86"/>
      <c r="G18" s="86"/>
      <c r="H18" s="86"/>
      <c r="I18" s="86"/>
      <c r="J18" s="86"/>
      <c r="K18" s="8">
        <f>N11</f>
        <v>88</v>
      </c>
    </row>
  </sheetData>
  <mergeCells count="7">
    <mergeCell ref="B18:J18"/>
    <mergeCell ref="A1:R1"/>
    <mergeCell ref="A3:P3"/>
    <mergeCell ref="B5:C5"/>
    <mergeCell ref="F5:G5"/>
    <mergeCell ref="J5:K5"/>
    <mergeCell ref="N5:Q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5"/>
  <sheetViews>
    <sheetView topLeftCell="A76" workbookViewId="0">
      <selection activeCell="D95" sqref="A93:D95"/>
    </sheetView>
  </sheetViews>
  <sheetFormatPr defaultRowHeight="15" x14ac:dyDescent="0.25"/>
  <cols>
    <col min="1" max="1" width="31.42578125" bestFit="1" customWidth="1"/>
    <col min="2" max="2" width="23.42578125" bestFit="1" customWidth="1"/>
    <col min="3" max="3" width="18.140625" bestFit="1" customWidth="1"/>
    <col min="4" max="4" width="19.7109375" bestFit="1" customWidth="1"/>
    <col min="5" max="5" width="20.85546875" bestFit="1" customWidth="1"/>
    <col min="6" max="6" width="15.7109375" bestFit="1" customWidth="1"/>
    <col min="7" max="7" width="17.5703125" bestFit="1" customWidth="1"/>
    <col min="8" max="8" width="15.85546875" bestFit="1" customWidth="1"/>
    <col min="9" max="9" width="15" customWidth="1"/>
    <col min="10" max="12" width="15.42578125" bestFit="1" customWidth="1"/>
    <col min="13" max="13" width="18.85546875" customWidth="1"/>
    <col min="14" max="14" width="17.42578125" customWidth="1"/>
    <col min="15" max="15" width="20.140625" customWidth="1"/>
    <col min="16" max="16" width="15.42578125" customWidth="1"/>
    <col min="17" max="17" width="26.5703125" customWidth="1"/>
    <col min="18" max="22" width="15.42578125" bestFit="1" customWidth="1"/>
  </cols>
  <sheetData>
    <row r="1" spans="1:22" ht="15.75" customHeight="1" x14ac:dyDescent="0.25">
      <c r="A1" t="s">
        <v>86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111</v>
      </c>
      <c r="H1" t="s">
        <v>113</v>
      </c>
      <c r="L1" t="s">
        <v>107</v>
      </c>
      <c r="M1" t="s">
        <v>115</v>
      </c>
      <c r="N1" t="s">
        <v>128</v>
      </c>
      <c r="O1" t="s">
        <v>116</v>
      </c>
      <c r="P1" t="s">
        <v>84</v>
      </c>
      <c r="Q1" t="s">
        <v>117</v>
      </c>
    </row>
    <row r="2" spans="1:22" x14ac:dyDescent="0.25">
      <c r="A2" t="s">
        <v>77</v>
      </c>
      <c r="B2" s="76">
        <v>1900</v>
      </c>
      <c r="C2" s="76">
        <v>200</v>
      </c>
      <c r="D2">
        <v>840</v>
      </c>
      <c r="E2" s="76">
        <v>10</v>
      </c>
      <c r="F2" s="76">
        <v>54</v>
      </c>
      <c r="G2">
        <v>2000</v>
      </c>
      <c r="H2" s="77">
        <f>Table8[[#This Row],[Energy]]*0.4</f>
        <v>336</v>
      </c>
      <c r="L2" t="s">
        <v>118</v>
      </c>
      <c r="M2" s="76" t="s">
        <v>119</v>
      </c>
      <c r="N2" s="76" t="s">
        <v>120</v>
      </c>
      <c r="O2" s="76" t="s">
        <v>121</v>
      </c>
      <c r="P2" s="76" t="s">
        <v>122</v>
      </c>
      <c r="Q2" s="76" t="s">
        <v>123</v>
      </c>
    </row>
    <row r="3" spans="1:22" x14ac:dyDescent="0.25">
      <c r="A3" t="s">
        <v>79</v>
      </c>
      <c r="B3" s="76">
        <v>1080</v>
      </c>
      <c r="C3" s="76">
        <v>54</v>
      </c>
      <c r="D3">
        <v>1500</v>
      </c>
      <c r="E3" s="76">
        <v>10.8</v>
      </c>
      <c r="F3" s="76">
        <v>50</v>
      </c>
      <c r="G3">
        <v>2000</v>
      </c>
      <c r="H3" s="77">
        <f>Table8[[#This Row],[Energy]]*0.4</f>
        <v>600</v>
      </c>
      <c r="L3" t="s">
        <v>78</v>
      </c>
      <c r="M3" s="76" t="s">
        <v>124</v>
      </c>
      <c r="N3" s="76" t="s">
        <v>122</v>
      </c>
      <c r="O3" s="76" t="s">
        <v>125</v>
      </c>
      <c r="P3" s="76" t="s">
        <v>126</v>
      </c>
      <c r="Q3" s="76" t="s">
        <v>127</v>
      </c>
    </row>
    <row r="4" spans="1:22" x14ac:dyDescent="0.25">
      <c r="I4" s="67"/>
    </row>
    <row r="5" spans="1:22" x14ac:dyDescent="0.25">
      <c r="I5" s="67"/>
    </row>
    <row r="6" spans="1:22" x14ac:dyDescent="0.25">
      <c r="I6" s="67"/>
    </row>
    <row r="7" spans="1:22" x14ac:dyDescent="0.25">
      <c r="I7" s="67"/>
    </row>
    <row r="9" spans="1:22" x14ac:dyDescent="0.25">
      <c r="A9" t="s">
        <v>85</v>
      </c>
      <c r="B9">
        <f>2%</f>
        <v>0.02</v>
      </c>
    </row>
    <row r="10" spans="1:22" x14ac:dyDescent="0.25">
      <c r="A10" t="s">
        <v>74</v>
      </c>
      <c r="B10" s="70">
        <v>4.7500000000000001E-2</v>
      </c>
    </row>
    <row r="11" spans="1:22" x14ac:dyDescent="0.25">
      <c r="A11" t="s">
        <v>75</v>
      </c>
      <c r="B11">
        <f>3.8%</f>
        <v>3.7999999999999999E-2</v>
      </c>
    </row>
    <row r="12" spans="1:22" x14ac:dyDescent="0.25">
      <c r="A12" t="s">
        <v>76</v>
      </c>
      <c r="B12">
        <f>(1+B10)/(1+B11)-1</f>
        <v>9.1522157996146714E-3</v>
      </c>
    </row>
    <row r="13" spans="1:22" ht="15.75" thickBot="1" x14ac:dyDescent="0.3"/>
    <row r="14" spans="1:22" ht="15.75" thickTop="1" x14ac:dyDescent="0.25">
      <c r="A14" s="72" t="s">
        <v>108</v>
      </c>
    </row>
    <row r="15" spans="1:22" x14ac:dyDescent="0.25">
      <c r="A15" s="69" t="s">
        <v>107</v>
      </c>
      <c r="B15" s="98" t="s">
        <v>129</v>
      </c>
      <c r="C15" s="98" t="s">
        <v>87</v>
      </c>
      <c r="D15" s="98" t="s">
        <v>88</v>
      </c>
      <c r="E15" s="98" t="s">
        <v>89</v>
      </c>
      <c r="F15" s="98" t="s">
        <v>90</v>
      </c>
      <c r="G15" s="98" t="s">
        <v>91</v>
      </c>
      <c r="H15" s="98" t="s">
        <v>92</v>
      </c>
      <c r="I15" s="98" t="s">
        <v>93</v>
      </c>
      <c r="J15" s="98" t="s">
        <v>94</v>
      </c>
      <c r="K15" s="98" t="s">
        <v>95</v>
      </c>
      <c r="L15" s="98" t="s">
        <v>96</v>
      </c>
      <c r="M15" s="98" t="s">
        <v>97</v>
      </c>
      <c r="N15" s="98" t="s">
        <v>98</v>
      </c>
      <c r="O15" s="98" t="s">
        <v>99</v>
      </c>
      <c r="P15" s="98" t="s">
        <v>100</v>
      </c>
      <c r="Q15" s="98" t="s">
        <v>101</v>
      </c>
      <c r="R15" s="98" t="s">
        <v>102</v>
      </c>
      <c r="S15" s="98" t="s">
        <v>103</v>
      </c>
      <c r="T15" s="98" t="s">
        <v>104</v>
      </c>
      <c r="U15" s="98" t="s">
        <v>105</v>
      </c>
      <c r="V15" s="41" t="s">
        <v>106</v>
      </c>
    </row>
    <row r="16" spans="1:22" x14ac:dyDescent="0.25">
      <c r="A16" s="73" t="s">
        <v>77</v>
      </c>
      <c r="B16" s="94">
        <f>-B2-C2</f>
        <v>-2100</v>
      </c>
      <c r="C16" s="94">
        <f>0.168*($G2-$D2)*(1+$B$9)^(Table6[[#Headers],[1]]-1)-$E2</f>
        <v>184.88000000000002</v>
      </c>
      <c r="D16" s="94">
        <f>0.168*($G2-$D2)*(1+$B$9)^(Table6[[#Headers],[2]]-1)-$E2</f>
        <v>188.77760000000004</v>
      </c>
      <c r="E16" s="94">
        <f>0.168*($G2-$D2)*(1+$B$9)^(Table6[[#Headers],[3]]-1)-$E2</f>
        <v>192.75315200000003</v>
      </c>
      <c r="F16" s="94">
        <f>0.168*($G2-$D2)*(1+$B$9)^(Table6[[#Headers],[4]]-1)-$E2</f>
        <v>196.80821504000002</v>
      </c>
      <c r="G16" s="94">
        <f>0.168*($G2-$D2)*(1+$B$9)^(Table6[[#Headers],[5]]-1)-$E2</f>
        <v>200.94437934080003</v>
      </c>
      <c r="H16" s="94">
        <f>0.168*($G2-$D2)*(1+$B$9)^(Table6[[#Headers],[6]]-1)-$E2</f>
        <v>205.16326692761604</v>
      </c>
      <c r="I16" s="94">
        <f>0.168*($G2-$D2)*(1+$B$9)^(Table6[[#Headers],[7]]-1)-$E2</f>
        <v>209.46653226616837</v>
      </c>
      <c r="J16" s="94">
        <f>0.168*($G2-$D2)*(1+$B$9)^(Table6[[#Headers],[8]]-1)-$E2</f>
        <v>213.85586291149167</v>
      </c>
      <c r="K16" s="94">
        <f>0.168*($G2-$D2)*(1+$B$9)^(Table6[[#Headers],[9]]-1)-$E2</f>
        <v>218.33298016972154</v>
      </c>
      <c r="L16" s="94">
        <f>0.168*($G2-$D2)*(1+$B$9)^(Table6[[#Headers],[10]]-1)-$E2</f>
        <v>222.89963977311595</v>
      </c>
      <c r="M16" s="94">
        <f>0.168*($G2-$D2)*(1+$B$9)^(Table6[[#Headers],[11]]-1)-$E2</f>
        <v>227.5576325685783</v>
      </c>
      <c r="N16" s="94">
        <f>0.168*($G2-$D2)*(1+$B$9)^(Table6[[#Headers],[12]]-1)-$E2</f>
        <v>232.30878521994981</v>
      </c>
      <c r="O16" s="94">
        <f>0.168*($G2-$D2)*(1+$B$9)^(Table6[[#Headers],[13]]-1)-$E2</f>
        <v>237.15496092434884</v>
      </c>
      <c r="P16" s="94">
        <f>0.168*($G2-$D2)*(1+$B$9)^(Table6[[#Headers],[14]]-1)-$E2</f>
        <v>242.09806014283581</v>
      </c>
      <c r="Q16" s="94">
        <f>0.168*($G2-$D2)*(1+$B$9)^(Table6[[#Headers],[15]]-1)-$E2</f>
        <v>247.14002134569256</v>
      </c>
      <c r="R16" s="94">
        <f>0.168*($G2-$D2)*(1+$B$9)^(Table6[[#Headers],[16]]-1)-$E2</f>
        <v>252.28282177260633</v>
      </c>
      <c r="S16" s="94">
        <f>0.168*($G2-$D2)*(1+$B$9)^(Table6[[#Headers],[17]]-1)-$E2</f>
        <v>257.52847820805852</v>
      </c>
      <c r="T16" s="94">
        <f>0.168*($G2-$D2)*(1+$B$9)^(Table6[[#Headers],[18]]-1)-$E2</f>
        <v>262.87904777221968</v>
      </c>
      <c r="U16" s="94">
        <f>0.168*($G2-$D2)*(1+$B$9)^(Table6[[#Headers],[19]]-1)-$E2</f>
        <v>268.33662872766405</v>
      </c>
      <c r="V16" s="94">
        <f>0.168*($G2-$D2)*(1+$B$9)^(Table6[[#Headers],[20]]-1)-$E2+F2</f>
        <v>327.90336130221732</v>
      </c>
    </row>
    <row r="17" spans="1:22" x14ac:dyDescent="0.25">
      <c r="A17" s="68" t="s">
        <v>78</v>
      </c>
      <c r="B17" s="95">
        <f t="shared" ref="B16:B17" si="0">-B3-C3</f>
        <v>-1134</v>
      </c>
      <c r="C17" s="94">
        <f>0.168*($G3-$D3)*(1+$B$9)^(Table6[[#Headers],[1]]-1)-$E3</f>
        <v>73.2</v>
      </c>
      <c r="D17" s="94">
        <f>0.168*($G3-$D3)*(1+$B$9)^(Table6[[#Headers],[2]]-1)-$E3</f>
        <v>74.88000000000001</v>
      </c>
      <c r="E17" s="94">
        <f>0.168*($G3-$D3)*(1+$B$9)^(Table6[[#Headers],[3]]-1)-$E3</f>
        <v>76.593599999999995</v>
      </c>
      <c r="F17" s="94">
        <f>0.168*($G3-$D3)*(1+$B$9)^(Table6[[#Headers],[4]]-1)-$E3</f>
        <v>78.341471999999996</v>
      </c>
      <c r="G17" s="94">
        <f>0.168*($G3-$D3)*(1+$B$9)^(Table6[[#Headers],[5]]-1)-$E3</f>
        <v>80.124301439999996</v>
      </c>
      <c r="H17" s="94">
        <f>0.168*($G3-$D3)*(1+$B$9)^(Table6[[#Headers],[6]]-1)-$E3</f>
        <v>81.942787468800006</v>
      </c>
      <c r="I17" s="94">
        <f>0.168*($G3-$D3)*(1+$B$9)^(Table6[[#Headers],[7]]-1)-$E3</f>
        <v>83.797643218176006</v>
      </c>
      <c r="J17" s="94">
        <f>0.168*($G3-$D3)*(1+$B$9)^(Table6[[#Headers],[8]]-1)-$E3</f>
        <v>85.689596082539509</v>
      </c>
      <c r="K17" s="94">
        <f>0.168*($G3-$D3)*(1+$B$9)^(Table6[[#Headers],[9]]-1)-$E3</f>
        <v>87.619388004190313</v>
      </c>
      <c r="L17" s="94">
        <f>0.168*($G3-$D3)*(1+$B$9)^(Table6[[#Headers],[10]]-1)-$E3</f>
        <v>89.587775764274113</v>
      </c>
      <c r="M17" s="94">
        <f>0.168*($G3-$D3)*(1+$B$9)^(Table6[[#Headers],[11]]-1)-$E3</f>
        <v>91.595531279559594</v>
      </c>
      <c r="N17" s="94">
        <f>0.168*($G3-$D3)*(1+$B$9)^(Table6[[#Headers],[12]]-1)-$E3</f>
        <v>93.643441905150766</v>
      </c>
      <c r="O17" s="94">
        <f>0.168*($G3-$D3)*(1+$B$9)^(Table6[[#Headers],[13]]-1)-$E3</f>
        <v>95.732310743253805</v>
      </c>
      <c r="P17" s="94">
        <f>0.168*($G3-$D3)*(1+$B$9)^(Table6[[#Headers],[14]]-1)-$E3</f>
        <v>97.862956958118872</v>
      </c>
      <c r="Q17" s="94">
        <f>0.168*($G3-$D3)*(1+$B$9)^(Table6[[#Headers],[15]]-1)-$E3</f>
        <v>100.03621609728127</v>
      </c>
      <c r="R17" s="94">
        <f>0.168*($G3-$D3)*(1+$B$9)^(Table6[[#Headers],[16]]-1)-$E3</f>
        <v>102.25294041922686</v>
      </c>
      <c r="S17" s="94">
        <f>0.168*($G3-$D3)*(1+$B$9)^(Table6[[#Headers],[17]]-1)-$E3</f>
        <v>104.51399922761142</v>
      </c>
      <c r="T17" s="94">
        <f>0.168*($G3-$D3)*(1+$B$9)^(Table6[[#Headers],[18]]-1)-$E3</f>
        <v>106.82027921216365</v>
      </c>
      <c r="U17" s="94">
        <f>0.168*($G3-$D3)*(1+$B$9)^(Table6[[#Headers],[19]]-1)-$E3</f>
        <v>109.17268479640691</v>
      </c>
      <c r="V17" s="94">
        <f>0.168*($G3-$D3)*(1+$B$9)^(Table6[[#Headers],[20]]-1)-$E3+F3</f>
        <v>161.57213849233506</v>
      </c>
    </row>
    <row r="20" spans="1:22" ht="15.75" thickBot="1" x14ac:dyDescent="0.3"/>
    <row r="21" spans="1:22" ht="16.5" thickTop="1" thickBot="1" x14ac:dyDescent="0.3">
      <c r="A21" s="71" t="s">
        <v>109</v>
      </c>
    </row>
    <row r="22" spans="1:22" ht="15.75" thickTop="1" x14ac:dyDescent="0.25">
      <c r="A22" t="s">
        <v>107</v>
      </c>
      <c r="B22" s="98" t="s">
        <v>129</v>
      </c>
      <c r="C22" s="98" t="s">
        <v>87</v>
      </c>
      <c r="D22" s="98" t="s">
        <v>88</v>
      </c>
      <c r="E22" s="98" t="s">
        <v>89</v>
      </c>
      <c r="F22" s="98" t="s">
        <v>90</v>
      </c>
      <c r="G22" s="98" t="s">
        <v>91</v>
      </c>
      <c r="H22" s="98" t="s">
        <v>92</v>
      </c>
      <c r="I22" s="98" t="s">
        <v>93</v>
      </c>
      <c r="J22" s="98" t="s">
        <v>94</v>
      </c>
      <c r="K22" s="98" t="s">
        <v>95</v>
      </c>
      <c r="L22" s="98" t="s">
        <v>96</v>
      </c>
      <c r="M22" s="98" t="s">
        <v>97</v>
      </c>
      <c r="N22" s="98" t="s">
        <v>98</v>
      </c>
      <c r="O22" s="98" t="s">
        <v>99</v>
      </c>
      <c r="P22" s="98" t="s">
        <v>100</v>
      </c>
      <c r="Q22" s="98" t="s">
        <v>101</v>
      </c>
      <c r="R22" s="98" t="s">
        <v>102</v>
      </c>
      <c r="S22" s="98" t="s">
        <v>103</v>
      </c>
      <c r="T22" s="98" t="s">
        <v>104</v>
      </c>
      <c r="U22" s="98" t="s">
        <v>105</v>
      </c>
      <c r="V22" s="41" t="s">
        <v>106</v>
      </c>
    </row>
    <row r="23" spans="1:22" x14ac:dyDescent="0.25">
      <c r="A23" t="s">
        <v>77</v>
      </c>
      <c r="B23" s="96">
        <f t="shared" ref="B23:B24" si="1">B16*(1+$B111)^(B22)</f>
        <v>-2100</v>
      </c>
      <c r="C23" s="96">
        <f>C16/((1+$B12)^(C22))</f>
        <v>183.20328400954656</v>
      </c>
      <c r="D23" s="96">
        <f t="shared" ref="D23:V23" si="2">D16/((1+$B12)^(D22))</f>
        <v>185.36899876797241</v>
      </c>
      <c r="E23" s="96">
        <f t="shared" si="2"/>
        <v>187.55621257643247</v>
      </c>
      <c r="F23" s="96">
        <f t="shared" si="2"/>
        <v>189.76517268998353</v>
      </c>
      <c r="G23" s="96">
        <f t="shared" si="2"/>
        <v>191.99612887503079</v>
      </c>
      <c r="H23" s="96">
        <f t="shared" si="2"/>
        <v>194.24933343765207</v>
      </c>
      <c r="I23" s="96">
        <f t="shared" si="2"/>
        <v>196.52504125221412</v>
      </c>
      <c r="J23" s="96">
        <f t="shared" si="2"/>
        <v>198.82350979028513</v>
      </c>
      <c r="K23" s="96">
        <f t="shared" si="2"/>
        <v>201.14499914984577</v>
      </c>
      <c r="L23" s="96">
        <f t="shared" si="2"/>
        <v>203.4897720848023</v>
      </c>
      <c r="M23" s="96">
        <f t="shared" si="2"/>
        <v>205.8580940348061</v>
      </c>
      <c r="N23" s="96">
        <f t="shared" si="2"/>
        <v>208.25023315538141</v>
      </c>
      <c r="O23" s="96">
        <f t="shared" si="2"/>
        <v>210.66646034836609</v>
      </c>
      <c r="P23" s="96">
        <f t="shared" si="2"/>
        <v>213.10704929266788</v>
      </c>
      <c r="Q23" s="96">
        <f t="shared" si="2"/>
        <v>215.57227647534029</v>
      </c>
      <c r="R23" s="96">
        <f t="shared" si="2"/>
        <v>218.06242122298147</v>
      </c>
      <c r="S23" s="96">
        <f t="shared" si="2"/>
        <v>220.57776573345964</v>
      </c>
      <c r="T23" s="96">
        <f t="shared" si="2"/>
        <v>223.11859510796819</v>
      </c>
      <c r="U23" s="96">
        <f t="shared" si="2"/>
        <v>225.68519738341513</v>
      </c>
      <c r="V23" s="96">
        <f t="shared" si="2"/>
        <v>273.28280462871288</v>
      </c>
    </row>
    <row r="24" spans="1:22" x14ac:dyDescent="0.25">
      <c r="A24" t="s">
        <v>78</v>
      </c>
      <c r="B24" s="96">
        <f t="shared" si="1"/>
        <v>-1134</v>
      </c>
      <c r="C24" s="96">
        <f>C17/((1+$B12)^(C22))</f>
        <v>72.53613365155131</v>
      </c>
      <c r="D24" s="96">
        <f t="shared" ref="D24:V24" si="3">D17/((1+$B12)^(D22))</f>
        <v>73.527953675360706</v>
      </c>
      <c r="E24" s="96">
        <f t="shared" si="3"/>
        <v>74.528511593907609</v>
      </c>
      <c r="F24" s="96">
        <f t="shared" si="3"/>
        <v>75.53791877969114</v>
      </c>
      <c r="G24" s="96">
        <f t="shared" si="3"/>
        <v>76.556287644182717</v>
      </c>
      <c r="H24" s="96">
        <f t="shared" si="3"/>
        <v>77.583731650429456</v>
      </c>
      <c r="I24" s="96">
        <f t="shared" si="3"/>
        <v>78.620365325779616</v>
      </c>
      <c r="J24" s="96">
        <f t="shared" si="3"/>
        <v>79.666304274732482</v>
      </c>
      <c r="K24" s="96">
        <f t="shared" si="3"/>
        <v>80.721665191913118</v>
      </c>
      <c r="L24" s="96">
        <f t="shared" si="3"/>
        <v>81.786565875174048</v>
      </c>
      <c r="M24" s="96">
        <f t="shared" si="3"/>
        <v>82.861125238825508</v>
      </c>
      <c r="N24" s="96">
        <f t="shared" si="3"/>
        <v>83.945463326995025</v>
      </c>
      <c r="O24" s="96">
        <f t="shared" si="3"/>
        <v>85.039701327118735</v>
      </c>
      <c r="P24" s="96">
        <f t="shared" si="3"/>
        <v>86.143961583565059</v>
      </c>
      <c r="Q24" s="96">
        <f t="shared" si="3"/>
        <v>87.258367611393211</v>
      </c>
      <c r="R24" s="96">
        <f t="shared" si="3"/>
        <v>88.383044110247113</v>
      </c>
      <c r="S24" s="96">
        <f t="shared" si="3"/>
        <v>89.518116978387326</v>
      </c>
      <c r="T24" s="96">
        <f t="shared" si="3"/>
        <v>90.663713326861497</v>
      </c>
      <c r="U24" s="96">
        <f t="shared" si="3"/>
        <v>91.819961493815796</v>
      </c>
      <c r="V24" s="96">
        <f t="shared" si="3"/>
        <v>134.65823278446996</v>
      </c>
    </row>
    <row r="27" spans="1:22" x14ac:dyDescent="0.25">
      <c r="A27" s="104" t="s">
        <v>107</v>
      </c>
      <c r="B27" s="104" t="s">
        <v>110</v>
      </c>
      <c r="C27" s="104" t="s">
        <v>114</v>
      </c>
      <c r="D27" s="104" t="s">
        <v>112</v>
      </c>
    </row>
    <row r="28" spans="1:22" x14ac:dyDescent="0.25">
      <c r="A28" s="105" t="s">
        <v>77</v>
      </c>
      <c r="B28" s="99">
        <f>SUM(B23:V23)</f>
        <v>2046.3033500168642</v>
      </c>
      <c r="C28" s="75">
        <f>IRR(B16:V16)</f>
        <v>8.1522537822759089E-2</v>
      </c>
      <c r="D28" s="74">
        <f>B28/-B16</f>
        <v>0.97443016667469728</v>
      </c>
    </row>
    <row r="29" spans="1:22" x14ac:dyDescent="0.25">
      <c r="A29" s="105" t="s">
        <v>78</v>
      </c>
      <c r="B29" s="99">
        <f>SUM(B24:V24)</f>
        <v>557.3571254444015</v>
      </c>
      <c r="C29" s="75">
        <f>IRR(B17:V17)</f>
        <v>4.83050074723963E-2</v>
      </c>
      <c r="D29" s="74">
        <f>B29/-B17</f>
        <v>0.49149658328430468</v>
      </c>
    </row>
    <row r="33" spans="1:22" ht="15.75" thickBot="1" x14ac:dyDescent="0.3"/>
    <row r="34" spans="1:22" ht="16.5" thickTop="1" thickBot="1" x14ac:dyDescent="0.3">
      <c r="A34" s="71" t="s">
        <v>130</v>
      </c>
    </row>
    <row r="35" spans="1:22" ht="15.75" thickTop="1" x14ac:dyDescent="0.25">
      <c r="A35" t="s">
        <v>107</v>
      </c>
      <c r="B35" t="s">
        <v>129</v>
      </c>
      <c r="C35" t="s">
        <v>87</v>
      </c>
      <c r="D35" t="s">
        <v>88</v>
      </c>
      <c r="E35" t="s">
        <v>89</v>
      </c>
      <c r="F35" t="s">
        <v>90</v>
      </c>
      <c r="G35" t="s">
        <v>91</v>
      </c>
      <c r="H35" t="s">
        <v>92</v>
      </c>
      <c r="I35" t="s">
        <v>93</v>
      </c>
      <c r="J35" t="s">
        <v>94</v>
      </c>
      <c r="K35" t="s">
        <v>95</v>
      </c>
      <c r="L35" t="s">
        <v>96</v>
      </c>
      <c r="M35" t="s">
        <v>97</v>
      </c>
      <c r="N35" t="s">
        <v>98</v>
      </c>
      <c r="O35" t="s">
        <v>99</v>
      </c>
      <c r="P35" t="s">
        <v>100</v>
      </c>
      <c r="Q35" t="s">
        <v>101</v>
      </c>
      <c r="R35" t="s">
        <v>102</v>
      </c>
      <c r="S35" t="s">
        <v>103</v>
      </c>
      <c r="T35" t="s">
        <v>104</v>
      </c>
      <c r="U35" t="s">
        <v>105</v>
      </c>
      <c r="V35" t="s">
        <v>106</v>
      </c>
    </row>
    <row r="36" spans="1:22" x14ac:dyDescent="0.25">
      <c r="A36" t="s">
        <v>77</v>
      </c>
      <c r="B36" s="93">
        <v>0</v>
      </c>
      <c r="C36" s="93">
        <f>0.168*($G2)*(1+$B$9)^(Table6[[#Headers],[1]]-1)</f>
        <v>336</v>
      </c>
      <c r="D36" s="93">
        <f>0.168*($G2)*(1+$B$9)^(Table6[[#Headers],[2]]-1)</f>
        <v>342.72</v>
      </c>
      <c r="E36" s="93">
        <f>0.168*($G2)*(1+$B$9)^(Table6[[#Headers],[3]]-1)</f>
        <v>349.57439999999997</v>
      </c>
      <c r="F36" s="93">
        <f>0.168*($G2)*(1+$B$9)^(Table6[[#Headers],[4]]-1)</f>
        <v>356.56588799999997</v>
      </c>
      <c r="G36" s="93">
        <f>0.168*($G2)*(1+$B$9)^(Table6[[#Headers],[5]]-1)</f>
        <v>363.69720575999997</v>
      </c>
      <c r="H36" s="93">
        <f>0.168*($G2)*(1+$B$9)^(Table6[[#Headers],[6]]-1)</f>
        <v>370.97114987520001</v>
      </c>
      <c r="I36" s="93">
        <f>0.168*($G2)*(1+$B$9)^(Table6[[#Headers],[7]]-1)</f>
        <v>378.39057287270401</v>
      </c>
      <c r="J36" s="93">
        <f>0.168*($G2)*(1+$B$9)^(Table6[[#Headers],[8]]-1)</f>
        <v>385.95838433015803</v>
      </c>
      <c r="K36" s="93">
        <f>0.168*($G2)*(1+$B$9)^(Table6[[#Headers],[9]]-1)</f>
        <v>393.67755201676124</v>
      </c>
      <c r="L36" s="93">
        <f>0.168*($G2)*(1+$B$9)^(Table6[[#Headers],[10]]-1)</f>
        <v>401.55110305709644</v>
      </c>
      <c r="M36" s="93">
        <f>0.168*($G2)*(1+$B$9)^(Table6[[#Headers],[11]]-1)</f>
        <v>409.58212511823837</v>
      </c>
      <c r="N36" s="93">
        <f>0.168*($G2)*(1+$B$9)^(Table6[[#Headers],[12]]-1)</f>
        <v>417.77376762060305</v>
      </c>
      <c r="O36" s="93">
        <f>0.168*($G2)*(1+$B$9)^(Table6[[#Headers],[13]]-1)</f>
        <v>426.12924297301521</v>
      </c>
      <c r="P36" s="93">
        <f>0.168*($G2)*(1+$B$9)^(Table6[[#Headers],[14]]-1)</f>
        <v>434.65182783247548</v>
      </c>
      <c r="Q36" s="93">
        <f>0.168*($G2)*(1+$B$9)^(Table6[[#Headers],[15]]-1)</f>
        <v>443.34486438912506</v>
      </c>
      <c r="R36" s="93">
        <f>0.168*($G2)*(1+$B$9)^(Table6[[#Headers],[16]]-1)</f>
        <v>452.21176167690743</v>
      </c>
      <c r="S36" s="93">
        <f>0.168*($G2)*(1+$B$9)^(Table6[[#Headers],[17]]-1)</f>
        <v>461.25599691044567</v>
      </c>
      <c r="T36" s="93">
        <f>0.168*($G2)*(1+$B$9)^(Table6[[#Headers],[18]]-1)</f>
        <v>470.48111684865461</v>
      </c>
      <c r="U36" s="93">
        <f>0.168*($G2)*(1+$B$9)^(Table6[[#Headers],[19]]-1)</f>
        <v>479.89073918562764</v>
      </c>
      <c r="V36" s="93">
        <f>0.168*($G2)*(1+$B$9)^(Table6[[#Headers],[20]]-1)+F2</f>
        <v>543.48855396934016</v>
      </c>
    </row>
    <row r="37" spans="1:22" x14ac:dyDescent="0.25">
      <c r="A37" t="s">
        <v>78</v>
      </c>
      <c r="B37" s="93">
        <v>0</v>
      </c>
      <c r="C37" s="93">
        <f>0.168*($G3)*(1+$B$9)^(Table6[[#Headers],[1]]-1)</f>
        <v>336</v>
      </c>
      <c r="D37" s="93">
        <f>0.168*($G3)*(1+$B$9)^(Table6[[#Headers],[2]]-1)</f>
        <v>342.72</v>
      </c>
      <c r="E37" s="93">
        <f>0.168*($G3)*(1+$B$9)^(Table6[[#Headers],[3]]-1)</f>
        <v>349.57439999999997</v>
      </c>
      <c r="F37" s="93">
        <f>0.168*($G3)*(1+$B$9)^(Table6[[#Headers],[4]]-1)</f>
        <v>356.56588799999997</v>
      </c>
      <c r="G37" s="93">
        <f>0.168*($G3)*(1+$B$9)^(Table6[[#Headers],[5]]-1)</f>
        <v>363.69720575999997</v>
      </c>
      <c r="H37" s="93">
        <f>0.168*($G3)*(1+$B$9)^(Table6[[#Headers],[6]]-1)</f>
        <v>370.97114987520001</v>
      </c>
      <c r="I37" s="93">
        <f>0.168*($G3)*(1+$B$9)^(Table6[[#Headers],[7]]-1)</f>
        <v>378.39057287270401</v>
      </c>
      <c r="J37" s="93">
        <f>0.168*($G3)*(1+$B$9)^(Table6[[#Headers],[8]]-1)</f>
        <v>385.95838433015803</v>
      </c>
      <c r="K37" s="93">
        <f>0.168*($G3)*(1+$B$9)^(Table6[[#Headers],[9]]-1)</f>
        <v>393.67755201676124</v>
      </c>
      <c r="L37" s="93">
        <f>0.168*($G3)*(1+$B$9)^(Table6[[#Headers],[10]]-1)</f>
        <v>401.55110305709644</v>
      </c>
      <c r="M37" s="93">
        <f>0.168*($G3)*(1+$B$9)^(Table6[[#Headers],[11]]-1)</f>
        <v>409.58212511823837</v>
      </c>
      <c r="N37" s="93">
        <f>0.168*($G3)*(1+$B$9)^(Table6[[#Headers],[12]]-1)</f>
        <v>417.77376762060305</v>
      </c>
      <c r="O37" s="93">
        <f>0.168*($G3)*(1+$B$9)^(Table6[[#Headers],[13]]-1)</f>
        <v>426.12924297301521</v>
      </c>
      <c r="P37" s="93">
        <f>0.168*($G3)*(1+$B$9)^(Table6[[#Headers],[14]]-1)</f>
        <v>434.65182783247548</v>
      </c>
      <c r="Q37" s="93">
        <f>0.168*($G3)*(1+$B$9)^(Table6[[#Headers],[15]]-1)</f>
        <v>443.34486438912506</v>
      </c>
      <c r="R37" s="93">
        <f>0.168*($G3)*(1+$B$9)^(Table6[[#Headers],[16]]-1)</f>
        <v>452.21176167690743</v>
      </c>
      <c r="S37" s="93">
        <f>0.168*($G3)*(1+$B$9)^(Table6[[#Headers],[17]]-1)</f>
        <v>461.25599691044567</v>
      </c>
      <c r="T37" s="93">
        <f>0.168*($G3)*(1+$B$9)^(Table6[[#Headers],[18]]-1)</f>
        <v>470.48111684865461</v>
      </c>
      <c r="U37" s="93">
        <f>0.168*($G3)*(1+$B$9)^(Table6[[#Headers],[19]]-1)</f>
        <v>479.89073918562764</v>
      </c>
      <c r="V37" s="93">
        <f>0.168*($G3)*(1+$B$9)^(Table6[[#Headers],[20]]-1)+F3</f>
        <v>539.48855396934016</v>
      </c>
    </row>
    <row r="38" spans="1:22" ht="15.75" thickBot="1" x14ac:dyDescent="0.3"/>
    <row r="39" spans="1:22" ht="16.5" thickTop="1" thickBot="1" x14ac:dyDescent="0.3">
      <c r="A39" s="71" t="s">
        <v>131</v>
      </c>
    </row>
    <row r="40" spans="1:22" ht="15.75" thickTop="1" x14ac:dyDescent="0.25">
      <c r="A40" t="s">
        <v>107</v>
      </c>
      <c r="B40" t="s">
        <v>129</v>
      </c>
      <c r="C40" t="s">
        <v>87</v>
      </c>
      <c r="D40" t="s">
        <v>88</v>
      </c>
      <c r="E40" t="s">
        <v>89</v>
      </c>
      <c r="F40" t="s">
        <v>90</v>
      </c>
      <c r="G40" t="s">
        <v>91</v>
      </c>
      <c r="H40" t="s">
        <v>92</v>
      </c>
      <c r="I40" t="s">
        <v>93</v>
      </c>
      <c r="J40" t="s">
        <v>94</v>
      </c>
      <c r="K40" t="s">
        <v>95</v>
      </c>
      <c r="L40" t="s">
        <v>96</v>
      </c>
      <c r="M40" t="s">
        <v>97</v>
      </c>
      <c r="N40" t="s">
        <v>98</v>
      </c>
      <c r="O40" t="s">
        <v>99</v>
      </c>
      <c r="P40" t="s">
        <v>100</v>
      </c>
      <c r="Q40" t="s">
        <v>101</v>
      </c>
      <c r="R40" t="s">
        <v>102</v>
      </c>
      <c r="S40" t="s">
        <v>103</v>
      </c>
      <c r="T40" t="s">
        <v>104</v>
      </c>
      <c r="U40" t="s">
        <v>105</v>
      </c>
      <c r="V40" t="s">
        <v>106</v>
      </c>
    </row>
    <row r="41" spans="1:22" x14ac:dyDescent="0.25">
      <c r="A41" t="s">
        <v>77</v>
      </c>
      <c r="B41" s="93">
        <f>B16</f>
        <v>-2100</v>
      </c>
      <c r="C41" s="93">
        <f>0.168*(-$D2)*(1+$B$9)^(Table6[[#Headers],[1]]-1)-$E2</f>
        <v>-151.12</v>
      </c>
      <c r="D41" s="93">
        <f>0.168*(-$D2)*(1+$B$9)^(Table6[[#Headers],[2]]-1)-$E2</f>
        <v>-153.94240000000002</v>
      </c>
      <c r="E41" s="93">
        <f>0.168*(-$D2)*(1+$B$9)^(Table6[[#Headers],[3]]-1)-$E2</f>
        <v>-156.821248</v>
      </c>
      <c r="F41" s="93">
        <f>0.168*(-$D2)*(1+$B$9)^(Table6[[#Headers],[4]]-1)-$E2</f>
        <v>-159.75767296000001</v>
      </c>
      <c r="G41" s="93">
        <f>0.168*(-$D2)*(1+$B$9)^(Table6[[#Headers],[5]]-1)-$E2</f>
        <v>-162.75282641920001</v>
      </c>
      <c r="H41" s="93">
        <f>0.168*(-$D2)*(1+$B$9)^(Table6[[#Headers],[6]]-1)-$E2</f>
        <v>-165.80788294758401</v>
      </c>
      <c r="I41" s="93">
        <f>0.168*(-$D2)*(1+$B$9)^(Table6[[#Headers],[7]]-1)-$E2</f>
        <v>-168.9240406065357</v>
      </c>
      <c r="J41" s="93">
        <f>0.168*(-$D2)*(1+$B$9)^(Table6[[#Headers],[8]]-1)-$E2</f>
        <v>-172.10252141866638</v>
      </c>
      <c r="K41" s="93">
        <f>0.168*(-$D2)*(1+$B$9)^(Table6[[#Headers],[9]]-1)-$E2</f>
        <v>-175.3445718470397</v>
      </c>
      <c r="L41" s="93">
        <f>0.168*(-$D2)*(1+$B$9)^(Table6[[#Headers],[10]]-1)-$E2</f>
        <v>-178.65146328398052</v>
      </c>
      <c r="M41" s="93">
        <f>0.168*(-$D2)*(1+$B$9)^(Table6[[#Headers],[11]]-1)-$E2</f>
        <v>-182.02449254966012</v>
      </c>
      <c r="N41" s="93">
        <f>0.168*(-$D2)*(1+$B$9)^(Table6[[#Headers],[12]]-1)-$E2</f>
        <v>-185.4649824006533</v>
      </c>
      <c r="O41" s="93">
        <f>0.168*(-$D2)*(1+$B$9)^(Table6[[#Headers],[13]]-1)-$E2</f>
        <v>-188.9742820486664</v>
      </c>
      <c r="P41" s="93">
        <f>0.168*(-$D2)*(1+$B$9)^(Table6[[#Headers],[14]]-1)-$E2</f>
        <v>-192.5537676896397</v>
      </c>
      <c r="Q41" s="93">
        <f>0.168*(-$D2)*(1+$B$9)^(Table6[[#Headers],[15]]-1)-$E2</f>
        <v>-196.20484304343253</v>
      </c>
      <c r="R41" s="93">
        <f>0.168*(-$D2)*(1+$B$9)^(Table6[[#Headers],[16]]-1)-$E2</f>
        <v>-199.92893990430113</v>
      </c>
      <c r="S41" s="93">
        <f>0.168*(-$D2)*(1+$B$9)^(Table6[[#Headers],[17]]-1)-$E2</f>
        <v>-203.72751870238719</v>
      </c>
      <c r="T41" s="93">
        <f>0.168*(-$D2)*(1+$B$9)^(Table6[[#Headers],[18]]-1)-$E2</f>
        <v>-207.60206907643493</v>
      </c>
      <c r="U41" s="93">
        <f>0.168*(-$D2)*(1+$B$9)^(Table6[[#Headers],[19]]-1)-$E2</f>
        <v>-211.55411045796362</v>
      </c>
      <c r="V41" s="93">
        <f>0.168*(-$D2)*(1+$B$9)^(Table6[[#Headers],[20]]-1)-$E2</f>
        <v>-215.58519266712287</v>
      </c>
    </row>
    <row r="42" spans="1:22" x14ac:dyDescent="0.25">
      <c r="A42" t="s">
        <v>78</v>
      </c>
      <c r="B42" s="93">
        <f>B17</f>
        <v>-1134</v>
      </c>
      <c r="C42" s="93">
        <f>0.168*(-$D3)*(1+$B$9)^(Table6[[#Headers],[1]]-1)-$E3</f>
        <v>-262.8</v>
      </c>
      <c r="D42" s="93">
        <f>0.168*(-$D3)*(1+$B$9)^(Table6[[#Headers],[2]]-1)-$E3</f>
        <v>-267.84000000000003</v>
      </c>
      <c r="E42" s="93">
        <f>0.168*(-$D3)*(1+$B$9)^(Table6[[#Headers],[3]]-1)-$E3</f>
        <v>-272.98080000000004</v>
      </c>
      <c r="F42" s="93">
        <f>0.168*(-$D3)*(1+$B$9)^(Table6[[#Headers],[4]]-1)-$E3</f>
        <v>-278.22441600000002</v>
      </c>
      <c r="G42" s="93">
        <f>0.168*(-$D3)*(1+$B$9)^(Table6[[#Headers],[5]]-1)-$E3</f>
        <v>-283.57290432000002</v>
      </c>
      <c r="H42" s="93">
        <f>0.168*(-$D3)*(1+$B$9)^(Table6[[#Headers],[6]]-1)-$E3</f>
        <v>-289.02836240640005</v>
      </c>
      <c r="I42" s="93">
        <f>0.168*(-$D3)*(1+$B$9)^(Table6[[#Headers],[7]]-1)-$E3</f>
        <v>-294.59292965452806</v>
      </c>
      <c r="J42" s="93">
        <f>0.168*(-$D3)*(1+$B$9)^(Table6[[#Headers],[8]]-1)-$E3</f>
        <v>-300.26878824761855</v>
      </c>
      <c r="K42" s="93">
        <f>0.168*(-$D3)*(1+$B$9)^(Table6[[#Headers],[9]]-1)-$E3</f>
        <v>-306.05816401257096</v>
      </c>
      <c r="L42" s="93">
        <f>0.168*(-$D3)*(1+$B$9)^(Table6[[#Headers],[10]]-1)-$E3</f>
        <v>-311.96332729282238</v>
      </c>
      <c r="M42" s="93">
        <f>0.168*(-$D3)*(1+$B$9)^(Table6[[#Headers],[11]]-1)-$E3</f>
        <v>-317.98659383867886</v>
      </c>
      <c r="N42" s="93">
        <f>0.168*(-$D3)*(1+$B$9)^(Table6[[#Headers],[12]]-1)-$E3</f>
        <v>-324.13032571545233</v>
      </c>
      <c r="O42" s="93">
        <f>0.168*(-$D3)*(1+$B$9)^(Table6[[#Headers],[13]]-1)-$E3</f>
        <v>-330.39693222976143</v>
      </c>
      <c r="P42" s="93">
        <f>0.168*(-$D3)*(1+$B$9)^(Table6[[#Headers],[14]]-1)-$E3</f>
        <v>-336.78887087435669</v>
      </c>
      <c r="Q42" s="93">
        <f>0.168*(-$D3)*(1+$B$9)^(Table6[[#Headers],[15]]-1)-$E3</f>
        <v>-343.30864829184384</v>
      </c>
      <c r="R42" s="93">
        <f>0.168*(-$D3)*(1+$B$9)^(Table6[[#Headers],[16]]-1)-$E3</f>
        <v>-349.9588212576806</v>
      </c>
      <c r="S42" s="93">
        <f>0.168*(-$D3)*(1+$B$9)^(Table6[[#Headers],[17]]-1)-$E3</f>
        <v>-356.74199768283427</v>
      </c>
      <c r="T42" s="93">
        <f>0.168*(-$D3)*(1+$B$9)^(Table6[[#Headers],[18]]-1)-$E3</f>
        <v>-363.66083763649101</v>
      </c>
      <c r="U42" s="93">
        <f>0.168*(-$D3)*(1+$B$9)^(Table6[[#Headers],[19]]-1)-$E3</f>
        <v>-370.71805438922075</v>
      </c>
      <c r="V42" s="93">
        <f>0.168*(-$D3)*(1+$B$9)^(Table6[[#Headers],[20]]-1)-$E3</f>
        <v>-377.91641547700516</v>
      </c>
    </row>
    <row r="43" spans="1:22" ht="15.75" thickBot="1" x14ac:dyDescent="0.3"/>
    <row r="44" spans="1:22" ht="16.5" thickTop="1" thickBot="1" x14ac:dyDescent="0.3">
      <c r="A44" s="71" t="s">
        <v>132</v>
      </c>
      <c r="V44" s="92"/>
    </row>
    <row r="45" spans="1:22" ht="15.75" thickTop="1" x14ac:dyDescent="0.25">
      <c r="A45" s="101" t="s">
        <v>107</v>
      </c>
      <c r="B45" s="101" t="s">
        <v>129</v>
      </c>
      <c r="C45" s="101" t="s">
        <v>87</v>
      </c>
      <c r="D45" s="101" t="s">
        <v>88</v>
      </c>
      <c r="E45" s="101" t="s">
        <v>89</v>
      </c>
      <c r="F45" s="101" t="s">
        <v>90</v>
      </c>
      <c r="G45" s="101" t="s">
        <v>91</v>
      </c>
      <c r="H45" s="101" t="s">
        <v>92</v>
      </c>
      <c r="I45" s="101" t="s">
        <v>93</v>
      </c>
      <c r="J45" s="101" t="s">
        <v>94</v>
      </c>
      <c r="K45" s="101" t="s">
        <v>95</v>
      </c>
      <c r="L45" s="101" t="s">
        <v>96</v>
      </c>
      <c r="M45" s="101" t="s">
        <v>97</v>
      </c>
      <c r="N45" s="101" t="s">
        <v>98</v>
      </c>
      <c r="O45" s="101" t="s">
        <v>99</v>
      </c>
      <c r="P45" s="101" t="s">
        <v>100</v>
      </c>
      <c r="Q45" s="101" t="s">
        <v>101</v>
      </c>
      <c r="R45" s="101" t="s">
        <v>102</v>
      </c>
      <c r="S45" s="101" t="s">
        <v>103</v>
      </c>
      <c r="T45" s="101" t="s">
        <v>104</v>
      </c>
      <c r="U45" s="101" t="s">
        <v>105</v>
      </c>
      <c r="V45" s="102" t="s">
        <v>106</v>
      </c>
    </row>
    <row r="46" spans="1:22" x14ac:dyDescent="0.25">
      <c r="A46" s="100" t="s">
        <v>77</v>
      </c>
      <c r="B46" s="93">
        <f>B36/(1+$B$12)^B45</f>
        <v>0</v>
      </c>
      <c r="C46" s="93">
        <f t="shared" ref="C46:V46" si="4">C36/(1+$B$12)^C45</f>
        <v>332.95274463007161</v>
      </c>
      <c r="D46" s="93">
        <f t="shared" si="4"/>
        <v>336.53178797568938</v>
      </c>
      <c r="E46" s="93">
        <f t="shared" si="4"/>
        <v>340.14930390180507</v>
      </c>
      <c r="F46" s="93">
        <f t="shared" si="4"/>
        <v>343.80570596570419</v>
      </c>
      <c r="G46" s="93">
        <f t="shared" si="4"/>
        <v>347.50141217016602</v>
      </c>
      <c r="H46" s="93">
        <f t="shared" si="4"/>
        <v>351.23684501125069</v>
      </c>
      <c r="I46" s="93">
        <f t="shared" si="4"/>
        <v>355.01243152659833</v>
      </c>
      <c r="J46" s="93">
        <f t="shared" si="4"/>
        <v>358.8286033442493</v>
      </c>
      <c r="K46" s="93">
        <f t="shared" si="4"/>
        <v>362.68579673198803</v>
      </c>
      <c r="L46" s="93">
        <f t="shared" si="4"/>
        <v>366.58445264721684</v>
      </c>
      <c r="M46" s="93">
        <f t="shared" si="4"/>
        <v>370.52501678736729</v>
      </c>
      <c r="N46" s="93">
        <f t="shared" si="4"/>
        <v>374.50793964085244</v>
      </c>
      <c r="O46" s="93">
        <f t="shared" si="4"/>
        <v>378.53367653856702</v>
      </c>
      <c r="P46" s="93">
        <f t="shared" si="4"/>
        <v>382.60268770594104</v>
      </c>
      <c r="Q46" s="93">
        <f t="shared" si="4"/>
        <v>386.7154383155534</v>
      </c>
      <c r="R46" s="93">
        <f t="shared" si="4"/>
        <v>390.87239854031048</v>
      </c>
      <c r="S46" s="93">
        <f t="shared" si="4"/>
        <v>395.07404360719732</v>
      </c>
      <c r="T46" s="93">
        <f t="shared" si="4"/>
        <v>399.32085385160508</v>
      </c>
      <c r="U46" s="93">
        <f t="shared" si="4"/>
        <v>403.61331477224371</v>
      </c>
      <c r="V46" s="93">
        <f t="shared" si="4"/>
        <v>452.95685815020801</v>
      </c>
    </row>
    <row r="47" spans="1:22" x14ac:dyDescent="0.25">
      <c r="A47" s="97" t="s">
        <v>78</v>
      </c>
      <c r="B47" s="93">
        <f>B37/(1+$B$12)^B46</f>
        <v>0</v>
      </c>
      <c r="C47" s="93">
        <f>C37/(1+$B$12)^C45</f>
        <v>332.95274463007161</v>
      </c>
      <c r="D47" s="93">
        <f t="shared" ref="D47:V47" si="5">D37/(1+$B$12)^D45</f>
        <v>336.53178797568938</v>
      </c>
      <c r="E47" s="93">
        <f t="shared" si="5"/>
        <v>340.14930390180507</v>
      </c>
      <c r="F47" s="93">
        <f t="shared" si="5"/>
        <v>343.80570596570419</v>
      </c>
      <c r="G47" s="93">
        <f t="shared" si="5"/>
        <v>347.50141217016602</v>
      </c>
      <c r="H47" s="93">
        <f t="shared" si="5"/>
        <v>351.23684501125069</v>
      </c>
      <c r="I47" s="93">
        <f t="shared" si="5"/>
        <v>355.01243152659833</v>
      </c>
      <c r="J47" s="93">
        <f t="shared" si="5"/>
        <v>358.8286033442493</v>
      </c>
      <c r="K47" s="93">
        <f t="shared" si="5"/>
        <v>362.68579673198803</v>
      </c>
      <c r="L47" s="93">
        <f t="shared" si="5"/>
        <v>366.58445264721684</v>
      </c>
      <c r="M47" s="93">
        <f t="shared" si="5"/>
        <v>370.52501678736729</v>
      </c>
      <c r="N47" s="93">
        <f t="shared" si="5"/>
        <v>374.50793964085244</v>
      </c>
      <c r="O47" s="93">
        <f t="shared" si="5"/>
        <v>378.53367653856702</v>
      </c>
      <c r="P47" s="93">
        <f t="shared" si="5"/>
        <v>382.60268770594104</v>
      </c>
      <c r="Q47" s="93">
        <f t="shared" si="5"/>
        <v>386.7154383155534</v>
      </c>
      <c r="R47" s="93">
        <f t="shared" si="5"/>
        <v>390.87239854031048</v>
      </c>
      <c r="S47" s="93">
        <f t="shared" si="5"/>
        <v>395.07404360719732</v>
      </c>
      <c r="T47" s="93">
        <f t="shared" si="5"/>
        <v>399.32085385160508</v>
      </c>
      <c r="U47" s="93">
        <f t="shared" si="5"/>
        <v>403.61331477224371</v>
      </c>
      <c r="V47" s="93">
        <f t="shared" si="5"/>
        <v>449.62315881216631</v>
      </c>
    </row>
    <row r="49" spans="1:22" ht="15.75" thickBot="1" x14ac:dyDescent="0.3"/>
    <row r="50" spans="1:22" ht="16.5" thickTop="1" thickBot="1" x14ac:dyDescent="0.3">
      <c r="A50" s="71" t="s">
        <v>133</v>
      </c>
    </row>
    <row r="51" spans="1:22" ht="15.75" thickTop="1" x14ac:dyDescent="0.25">
      <c r="A51" s="101" t="s">
        <v>107</v>
      </c>
      <c r="B51" s="101" t="s">
        <v>129</v>
      </c>
      <c r="C51" s="101" t="s">
        <v>87</v>
      </c>
      <c r="D51" s="101" t="s">
        <v>88</v>
      </c>
      <c r="E51" s="101" t="s">
        <v>89</v>
      </c>
      <c r="F51" s="101" t="s">
        <v>90</v>
      </c>
      <c r="G51" s="101" t="s">
        <v>91</v>
      </c>
      <c r="H51" s="101" t="s">
        <v>92</v>
      </c>
      <c r="I51" s="101" t="s">
        <v>93</v>
      </c>
      <c r="J51" s="101" t="s">
        <v>94</v>
      </c>
      <c r="K51" s="101" t="s">
        <v>95</v>
      </c>
      <c r="L51" s="101" t="s">
        <v>96</v>
      </c>
      <c r="M51" s="101" t="s">
        <v>97</v>
      </c>
      <c r="N51" s="101" t="s">
        <v>98</v>
      </c>
      <c r="O51" s="101" t="s">
        <v>99</v>
      </c>
      <c r="P51" s="101" t="s">
        <v>100</v>
      </c>
      <c r="Q51" s="101" t="s">
        <v>101</v>
      </c>
      <c r="R51" s="101" t="s">
        <v>102</v>
      </c>
      <c r="S51" s="101" t="s">
        <v>103</v>
      </c>
      <c r="T51" s="101" t="s">
        <v>104</v>
      </c>
      <c r="U51" s="101" t="s">
        <v>105</v>
      </c>
      <c r="V51" s="102" t="s">
        <v>106</v>
      </c>
    </row>
    <row r="52" spans="1:22" x14ac:dyDescent="0.25">
      <c r="A52" s="100" t="s">
        <v>77</v>
      </c>
      <c r="B52" s="103">
        <f>B41/(1+$B$12)^B51</f>
        <v>-2100</v>
      </c>
      <c r="C52" s="103">
        <f t="shared" ref="C52:V52" si="6">C41/(1+$B$12)^C51</f>
        <v>-149.74946062052507</v>
      </c>
      <c r="D52" s="103">
        <f t="shared" si="6"/>
        <v>-151.162789207717</v>
      </c>
      <c r="E52" s="103">
        <f t="shared" si="6"/>
        <v>-152.59309132537263</v>
      </c>
      <c r="F52" s="103">
        <f t="shared" si="6"/>
        <v>-154.04053327572069</v>
      </c>
      <c r="G52" s="103">
        <f t="shared" si="6"/>
        <v>-155.50528329513529</v>
      </c>
      <c r="H52" s="103">
        <f t="shared" si="6"/>
        <v>-156.98751157359865</v>
      </c>
      <c r="I52" s="103">
        <f t="shared" si="6"/>
        <v>-158.48739027438424</v>
      </c>
      <c r="J52" s="103">
        <f t="shared" si="6"/>
        <v>-160.00509355396423</v>
      </c>
      <c r="K52" s="103">
        <f t="shared" si="6"/>
        <v>-161.54079758214229</v>
      </c>
      <c r="L52" s="103">
        <f t="shared" si="6"/>
        <v>-163.09468056241457</v>
      </c>
      <c r="M52" s="103">
        <f t="shared" si="6"/>
        <v>-164.66692275256125</v>
      </c>
      <c r="N52" s="103">
        <f t="shared" si="6"/>
        <v>-166.25770648547109</v>
      </c>
      <c r="O52" s="103">
        <f t="shared" si="6"/>
        <v>-167.86721619020096</v>
      </c>
      <c r="P52" s="103">
        <f t="shared" si="6"/>
        <v>-169.49563841327318</v>
      </c>
      <c r="Q52" s="103">
        <f t="shared" si="6"/>
        <v>-171.14316184021311</v>
      </c>
      <c r="R52" s="103">
        <f t="shared" si="6"/>
        <v>-172.80997731732904</v>
      </c>
      <c r="S52" s="103">
        <f t="shared" si="6"/>
        <v>-174.49627787373768</v>
      </c>
      <c r="T52" s="103">
        <f t="shared" si="6"/>
        <v>-176.20225874363686</v>
      </c>
      <c r="U52" s="103">
        <f t="shared" si="6"/>
        <v>-177.92811738882861</v>
      </c>
      <c r="V52" s="103">
        <f t="shared" si="6"/>
        <v>-179.67405352149515</v>
      </c>
    </row>
    <row r="53" spans="1:22" x14ac:dyDescent="0.25">
      <c r="A53" s="97" t="s">
        <v>78</v>
      </c>
      <c r="B53" s="103">
        <f>B42/(1+$B$12)^B51</f>
        <v>-1134</v>
      </c>
      <c r="C53" s="103">
        <f t="shared" ref="C53:V53" si="7">C42/(1+$B$12)^C51</f>
        <v>-260.41661097852028</v>
      </c>
      <c r="D53" s="103">
        <f t="shared" si="7"/>
        <v>-263.00383430032866</v>
      </c>
      <c r="E53" s="103">
        <f t="shared" si="7"/>
        <v>-265.62079230789755</v>
      </c>
      <c r="F53" s="103">
        <f t="shared" si="7"/>
        <v>-268.26778718601309</v>
      </c>
      <c r="G53" s="103">
        <f t="shared" si="7"/>
        <v>-270.94512452598337</v>
      </c>
      <c r="H53" s="103">
        <f t="shared" si="7"/>
        <v>-273.65311336082129</v>
      </c>
      <c r="I53" s="103">
        <f t="shared" si="7"/>
        <v>-276.39206620081876</v>
      </c>
      <c r="J53" s="103">
        <f t="shared" si="7"/>
        <v>-279.16229906951685</v>
      </c>
      <c r="K53" s="103">
        <f t="shared" si="7"/>
        <v>-281.96413154007496</v>
      </c>
      <c r="L53" s="103">
        <f t="shared" si="7"/>
        <v>-284.79788677204283</v>
      </c>
      <c r="M53" s="103">
        <f t="shared" si="7"/>
        <v>-287.66389154854187</v>
      </c>
      <c r="N53" s="103">
        <f t="shared" si="7"/>
        <v>-290.56247631385747</v>
      </c>
      <c r="O53" s="103">
        <f t="shared" si="7"/>
        <v>-293.49397521144834</v>
      </c>
      <c r="P53" s="103">
        <f t="shared" si="7"/>
        <v>-296.45872612237605</v>
      </c>
      <c r="Q53" s="103">
        <f t="shared" si="7"/>
        <v>-299.45707070416023</v>
      </c>
      <c r="R53" s="103">
        <f t="shared" si="7"/>
        <v>-302.48935443006337</v>
      </c>
      <c r="S53" s="103">
        <f t="shared" si="7"/>
        <v>-305.55592662880997</v>
      </c>
      <c r="T53" s="103">
        <f t="shared" si="7"/>
        <v>-308.65714052474362</v>
      </c>
      <c r="U53" s="103">
        <f t="shared" si="7"/>
        <v>-311.79335327842796</v>
      </c>
      <c r="V53" s="103">
        <f t="shared" si="7"/>
        <v>-314.96492602769638</v>
      </c>
    </row>
    <row r="57" spans="1:22" x14ac:dyDescent="0.25">
      <c r="A57" s="104" t="s">
        <v>107</v>
      </c>
      <c r="B57" s="104" t="s">
        <v>134</v>
      </c>
      <c r="C57" s="104" t="s">
        <v>135</v>
      </c>
      <c r="D57" s="104" t="s">
        <v>136</v>
      </c>
    </row>
    <row r="58" spans="1:22" x14ac:dyDescent="0.25">
      <c r="A58" s="105" t="s">
        <v>77</v>
      </c>
      <c r="B58" s="99">
        <f>SUM(B46:V46)</f>
        <v>7430.0113118145864</v>
      </c>
      <c r="C58" s="99">
        <f>SUM(B52:V52)</f>
        <v>-5383.7079617977215</v>
      </c>
      <c r="D58" s="74">
        <f>B58/-C58</f>
        <v>1.3800918186010902</v>
      </c>
    </row>
    <row r="59" spans="1:22" x14ac:dyDescent="0.25">
      <c r="A59" s="105" t="s">
        <v>78</v>
      </c>
      <c r="B59" s="99">
        <f>SUM(B47:V47)</f>
        <v>7426.6776124765447</v>
      </c>
      <c r="C59" s="99">
        <f>SUM(B53:V53)</f>
        <v>-6869.3204870321433</v>
      </c>
      <c r="D59" s="74">
        <f>B59/-C59</f>
        <v>1.0811371556322895</v>
      </c>
    </row>
    <row r="62" spans="1:22" x14ac:dyDescent="0.25">
      <c r="A62" s="104" t="s">
        <v>107</v>
      </c>
      <c r="B62" s="104" t="s">
        <v>143</v>
      </c>
      <c r="C62" s="104" t="s">
        <v>142</v>
      </c>
      <c r="D62" s="104" t="s">
        <v>146</v>
      </c>
    </row>
    <row r="63" spans="1:22" x14ac:dyDescent="0.25">
      <c r="A63" s="105" t="s">
        <v>138</v>
      </c>
      <c r="B63" s="74">
        <v>0</v>
      </c>
      <c r="C63" s="74" t="s">
        <v>141</v>
      </c>
      <c r="D63" s="74">
        <v>1500</v>
      </c>
    </row>
    <row r="64" spans="1:22" x14ac:dyDescent="0.25">
      <c r="A64" s="105" t="s">
        <v>139</v>
      </c>
      <c r="B64" s="74">
        <v>1000</v>
      </c>
      <c r="C64" s="74" t="s">
        <v>140</v>
      </c>
      <c r="D64" s="74">
        <v>1680</v>
      </c>
    </row>
    <row r="66" spans="1:22" x14ac:dyDescent="0.25">
      <c r="A66" t="s">
        <v>137</v>
      </c>
    </row>
    <row r="67" spans="1:22" ht="15.75" thickBot="1" x14ac:dyDescent="0.3"/>
    <row r="68" spans="1:22" ht="16.5" thickTop="1" thickBot="1" x14ac:dyDescent="0.3">
      <c r="A68" s="71" t="s">
        <v>144</v>
      </c>
    </row>
    <row r="69" spans="1:22" ht="15.75" thickTop="1" x14ac:dyDescent="0.25">
      <c r="A69" t="s">
        <v>107</v>
      </c>
      <c r="B69" s="90" t="s">
        <v>129</v>
      </c>
      <c r="C69" s="90" t="s">
        <v>87</v>
      </c>
      <c r="D69" s="90" t="s">
        <v>88</v>
      </c>
      <c r="E69" s="90" t="s">
        <v>89</v>
      </c>
      <c r="F69" s="90" t="s">
        <v>90</v>
      </c>
      <c r="G69" s="90" t="s">
        <v>91</v>
      </c>
      <c r="H69" s="90" t="s">
        <v>92</v>
      </c>
      <c r="I69" s="90" t="s">
        <v>93</v>
      </c>
      <c r="J69" s="90" t="s">
        <v>94</v>
      </c>
      <c r="K69" s="90" t="s">
        <v>95</v>
      </c>
      <c r="L69" s="90" t="s">
        <v>96</v>
      </c>
      <c r="M69" s="90" t="s">
        <v>97</v>
      </c>
      <c r="N69" s="90" t="s">
        <v>98</v>
      </c>
      <c r="O69" s="90" t="s">
        <v>99</v>
      </c>
      <c r="P69" s="90" t="s">
        <v>100</v>
      </c>
      <c r="Q69" s="90" t="s">
        <v>101</v>
      </c>
      <c r="R69" s="90" t="s">
        <v>102</v>
      </c>
      <c r="S69" s="90" t="s">
        <v>103</v>
      </c>
      <c r="T69" s="90" t="s">
        <v>104</v>
      </c>
      <c r="U69" s="90" t="s">
        <v>105</v>
      </c>
      <c r="V69" s="91" t="s">
        <v>106</v>
      </c>
    </row>
    <row r="70" spans="1:22" x14ac:dyDescent="0.25">
      <c r="A70" t="s">
        <v>138</v>
      </c>
      <c r="B70">
        <v>0</v>
      </c>
      <c r="C70">
        <f>0.168*(1500)*(1+$B$9)^(Table6[[#Headers],[1]]-1)</f>
        <v>252.00000000000003</v>
      </c>
      <c r="D70">
        <f>0.168*(1500)*(1+$B$9)^(Table6[[#Headers],[2]]-1)</f>
        <v>257.04000000000002</v>
      </c>
      <c r="E70">
        <f>0.168*(1500)*(1+$B$9)^(Table6[[#Headers],[3]]-1)</f>
        <v>262.18080000000003</v>
      </c>
      <c r="F70">
        <f>0.168*(1500)*(1+$B$9)^(Table6[[#Headers],[4]]-1)</f>
        <v>267.42441600000001</v>
      </c>
      <c r="G70">
        <f>0.168*(1500)*(1+$B$9)^(Table6[[#Headers],[5]]-1)</f>
        <v>272.77290432000001</v>
      </c>
      <c r="H70">
        <f>0.168*(1500)*(1+$B$9)^(Table6[[#Headers],[6]]-1)</f>
        <v>278.22836240640004</v>
      </c>
      <c r="I70">
        <f>0.168*(1500)*(1+$B$9)^(Table6[[#Headers],[7]]-1)</f>
        <v>283.79292965452805</v>
      </c>
      <c r="J70">
        <f>0.168*(1500)*(1+$B$9)^(Table6[[#Headers],[8]]-1)</f>
        <v>289.46878824761853</v>
      </c>
      <c r="K70">
        <f>0.168*(1500)*(1+$B$9)^(Table6[[#Headers],[9]]-1)</f>
        <v>295.25816401257094</v>
      </c>
      <c r="L70">
        <f>0.168*(1500)*(1+$B$9)^(Table6[[#Headers],[10]]-1)</f>
        <v>301.16332729282237</v>
      </c>
      <c r="M70">
        <f>0.168*(1500)*(1+$B$9)^(Table6[[#Headers],[11]]-1)</f>
        <v>307.18659383867885</v>
      </c>
      <c r="N70">
        <f>0.168*(1500)*(1+$B$9)^(Table6[[#Headers],[12]]-1)</f>
        <v>313.33032571545232</v>
      </c>
      <c r="O70">
        <f>0.168*(1500)*(1+$B$9)^(Table6[[#Headers],[13]]-1)</f>
        <v>319.59693222976142</v>
      </c>
      <c r="P70">
        <f>0.168*(1500)*(1+$B$9)^(Table6[[#Headers],[14]]-1)</f>
        <v>325.98887087435668</v>
      </c>
      <c r="Q70">
        <f>0.168*(1500)*(1+$B$9)^(Table6[[#Headers],[15]]-1)</f>
        <v>332.50864829184383</v>
      </c>
      <c r="R70">
        <f>0.168*(1500)*(1+$B$9)^(Table6[[#Headers],[16]]-1)</f>
        <v>339.15882125768059</v>
      </c>
      <c r="S70">
        <f>0.168*(1500)*(1+$B$9)^(Table6[[#Headers],[17]]-1)</f>
        <v>345.94199768283426</v>
      </c>
      <c r="T70">
        <f>0.168*(1500)*(1+$B$9)^(Table6[[#Headers],[18]]-1)</f>
        <v>352.860837636491</v>
      </c>
      <c r="U70">
        <f>0.168*(1500)*(1+$B$9)^(Table6[[#Headers],[19]]-1)</f>
        <v>359.91805438922074</v>
      </c>
      <c r="V70">
        <f>0.168*(1500)*(1+$B$9)^(Table6[[#Headers],[20]]-1)</f>
        <v>367.11641547700515</v>
      </c>
    </row>
    <row r="71" spans="1:22" x14ac:dyDescent="0.25">
      <c r="A71" t="s">
        <v>139</v>
      </c>
      <c r="B71">
        <v>1000</v>
      </c>
      <c r="C71">
        <f>0.168*(840)*(1+$B$9)^(Table6[[#Headers],[1]]-1)</f>
        <v>141.12</v>
      </c>
      <c r="D71">
        <f>0.168*(840)*(1+$B$9)^(Table6[[#Headers],[2]]-1)</f>
        <v>143.94240000000002</v>
      </c>
      <c r="E71">
        <f>0.168*(840)*(1+$B$9)^(Table6[[#Headers],[3]]-1)</f>
        <v>146.821248</v>
      </c>
      <c r="F71">
        <f>0.168*(840)*(1+$B$9)^(Table6[[#Headers],[4]]-1)</f>
        <v>149.75767296000001</v>
      </c>
      <c r="G71">
        <f>0.168*(840)*(1+$B$9)^(Table6[[#Headers],[5]]-1)</f>
        <v>152.75282641920001</v>
      </c>
      <c r="H71">
        <f>0.168*(840)*(1+$B$9)^(Table6[[#Headers],[6]]-1)</f>
        <v>155.80788294758401</v>
      </c>
      <c r="I71">
        <f>0.168*(840)*(1+$B$9)^(Table6[[#Headers],[7]]-1)</f>
        <v>158.9240406065357</v>
      </c>
      <c r="J71">
        <f>0.168*(840)*(1+$B$9)^(Table6[[#Headers],[8]]-1)</f>
        <v>162.10252141866638</v>
      </c>
      <c r="K71">
        <f>0.168*(840)*(1+$B$9)^(Table6[[#Headers],[9]]-1)</f>
        <v>165.3445718470397</v>
      </c>
      <c r="L71">
        <f>0.168*(840)*(1+$B$9)^(Table6[[#Headers],[10]]-1)</f>
        <v>168.65146328398052</v>
      </c>
      <c r="M71">
        <f>0.168*(840)*(1+$B$9)^(Table6[[#Headers],[11]]-1)</f>
        <v>172.02449254966012</v>
      </c>
      <c r="N71">
        <f>0.168*(840)*(1+$B$9)^(Table6[[#Headers],[12]]-1)</f>
        <v>175.4649824006533</v>
      </c>
      <c r="O71">
        <f>0.168*(840)*(1+$B$9)^(Table6[[#Headers],[13]]-1)</f>
        <v>178.9742820486664</v>
      </c>
      <c r="P71">
        <f>0.168*(840)*(1+$B$9)^(Table6[[#Headers],[14]]-1)</f>
        <v>182.5537676896397</v>
      </c>
      <c r="Q71">
        <f>0.168*(840)*(1+$B$9)^(Table6[[#Headers],[15]]-1)</f>
        <v>186.20484304343253</v>
      </c>
      <c r="R71">
        <f>0.168*(840)*(1+$B$9)^(Table6[[#Headers],[16]]-1)</f>
        <v>189.92893990430113</v>
      </c>
      <c r="S71">
        <f>0.168*(840)*(1+$B$9)^(Table6[[#Headers],[17]]-1)</f>
        <v>193.72751870238719</v>
      </c>
      <c r="T71">
        <f>0.168*(840)*(1+$B$9)^(Table6[[#Headers],[18]]-1)</f>
        <v>197.60206907643493</v>
      </c>
      <c r="U71">
        <f>0.168*(840)*(1+$B$9)^(Table6[[#Headers],[19]]-1)</f>
        <v>201.55411045796362</v>
      </c>
      <c r="V71">
        <f>0.168*(840)*(1+$B$9)^(Table6[[#Headers],[20]]-1)</f>
        <v>205.58519266712287</v>
      </c>
    </row>
    <row r="73" spans="1:22" ht="15.75" thickBot="1" x14ac:dyDescent="0.3"/>
    <row r="74" spans="1:22" ht="16.5" thickTop="1" thickBot="1" x14ac:dyDescent="0.3">
      <c r="A74" s="71" t="s">
        <v>145</v>
      </c>
    </row>
    <row r="75" spans="1:22" ht="15.75" thickTop="1" x14ac:dyDescent="0.25">
      <c r="A75" s="101" t="s">
        <v>107</v>
      </c>
      <c r="B75" s="101" t="s">
        <v>129</v>
      </c>
      <c r="C75" s="101" t="s">
        <v>87</v>
      </c>
      <c r="D75" s="101" t="s">
        <v>88</v>
      </c>
      <c r="E75" s="101" t="s">
        <v>89</v>
      </c>
      <c r="F75" s="101" t="s">
        <v>90</v>
      </c>
      <c r="G75" s="101" t="s">
        <v>91</v>
      </c>
      <c r="H75" s="101" t="s">
        <v>92</v>
      </c>
      <c r="I75" s="101" t="s">
        <v>93</v>
      </c>
      <c r="J75" s="101" t="s">
        <v>94</v>
      </c>
      <c r="K75" s="101" t="s">
        <v>95</v>
      </c>
      <c r="L75" s="101" t="s">
        <v>96</v>
      </c>
      <c r="M75" s="101" t="s">
        <v>97</v>
      </c>
      <c r="N75" s="101" t="s">
        <v>98</v>
      </c>
      <c r="O75" s="101" t="s">
        <v>99</v>
      </c>
      <c r="P75" s="101" t="s">
        <v>100</v>
      </c>
      <c r="Q75" s="101" t="s">
        <v>101</v>
      </c>
      <c r="R75" s="101" t="s">
        <v>102</v>
      </c>
      <c r="S75" s="101" t="s">
        <v>103</v>
      </c>
      <c r="T75" s="101" t="s">
        <v>104</v>
      </c>
      <c r="U75" s="101" t="s">
        <v>105</v>
      </c>
      <c r="V75" s="102" t="s">
        <v>106</v>
      </c>
    </row>
    <row r="76" spans="1:22" x14ac:dyDescent="0.25">
      <c r="A76" s="100" t="s">
        <v>138</v>
      </c>
      <c r="B76">
        <v>0</v>
      </c>
      <c r="C76">
        <f>C70/(1+$B$12)^Table47[[#Headers],[1]]</f>
        <v>249.71455847255373</v>
      </c>
      <c r="D76">
        <f>D70/(1+$B$12)^Table47[[#Headers],[2]]</f>
        <v>252.39884098176705</v>
      </c>
      <c r="E76">
        <f>E70/(1+$B$12)^Table47[[#Headers],[3]]</f>
        <v>255.11197792635386</v>
      </c>
      <c r="F76">
        <f>F70/(1+$B$12)^Table47[[#Headers],[4]]</f>
        <v>257.85427947427814</v>
      </c>
      <c r="G76">
        <f>G70/(1+$B$12)^Table47[[#Headers],[5]]</f>
        <v>260.62605912762456</v>
      </c>
      <c r="H76">
        <f>H70/(1+$B$12)^Table47[[#Headers],[6]]</f>
        <v>263.42763375843805</v>
      </c>
      <c r="I76">
        <f>I70/(1+$B$12)^Table47[[#Headers],[7]]</f>
        <v>266.25932364494878</v>
      </c>
      <c r="J76">
        <f>J70/(1+$B$12)^Table47[[#Headers],[8]]</f>
        <v>269.12145250818702</v>
      </c>
      <c r="K76">
        <f>K70/(1+$B$12)^Table47[[#Headers],[9]]</f>
        <v>272.01434754899105</v>
      </c>
      <c r="L76">
        <f>L70/(1+$B$12)^Table47[[#Headers],[10]]</f>
        <v>274.93833948541265</v>
      </c>
      <c r="M76">
        <f>M70/(1+$B$12)^Table47[[#Headers],[11]]</f>
        <v>277.89376259052557</v>
      </c>
      <c r="N76">
        <f>N70/(1+$B$12)^Table47[[#Headers],[12]]</f>
        <v>280.88095473063936</v>
      </c>
      <c r="O76">
        <f>O70/(1+$B$12)^Table47[[#Headers],[13]]</f>
        <v>283.90025740392531</v>
      </c>
      <c r="P76">
        <f>P70/(1+$B$12)^Table47[[#Headers],[14]]</f>
        <v>286.95201577945585</v>
      </c>
      <c r="Q76">
        <f>Q70/(1+$B$12)^Table47[[#Headers],[15]]</f>
        <v>290.03657873666509</v>
      </c>
      <c r="R76">
        <f>R70/(1+$B$12)^Table47[[#Headers],[16]]</f>
        <v>293.15429890523291</v>
      </c>
      <c r="S76">
        <f>S70/(1+$B$12)^Table47[[#Headers],[17]]</f>
        <v>296.30553270539798</v>
      </c>
      <c r="T76">
        <f>T70/(1+$B$12)^Table47[[#Headers],[18]]</f>
        <v>299.49064038870381</v>
      </c>
      <c r="U76">
        <f>U70/(1+$B$12)^Table47[[#Headers],[19]]</f>
        <v>302.70998607918278</v>
      </c>
      <c r="V76">
        <f>V70/(1+$B$12)^Table47[[#Headers],[20]]</f>
        <v>305.96393781498381</v>
      </c>
    </row>
    <row r="77" spans="1:22" x14ac:dyDescent="0.25">
      <c r="A77" s="97" t="s">
        <v>139</v>
      </c>
      <c r="B77">
        <v>1000</v>
      </c>
      <c r="C77">
        <f>C71/(1+$B$12)^Table47[[#Headers],[1]]</f>
        <v>139.84015274463007</v>
      </c>
      <c r="D77">
        <f>D71/(1+$B$12)^Table47[[#Headers],[2]]</f>
        <v>141.34335094978954</v>
      </c>
      <c r="E77">
        <f>E71/(1+$B$12)^Table47[[#Headers],[3]]</f>
        <v>142.86270763875814</v>
      </c>
      <c r="F77">
        <f>F71/(1+$B$12)^Table47[[#Headers],[4]]</f>
        <v>144.39839650559577</v>
      </c>
      <c r="G77">
        <f>G71/(1+$B$12)^Table47[[#Headers],[5]]</f>
        <v>145.95059311146974</v>
      </c>
      <c r="H77">
        <f>H71/(1+$B$12)^Table47[[#Headers],[6]]</f>
        <v>147.51947490472529</v>
      </c>
      <c r="I77">
        <f>I71/(1+$B$12)^Table47[[#Headers],[7]]</f>
        <v>149.10522124117131</v>
      </c>
      <c r="J77">
        <f>J71/(1+$B$12)^Table47[[#Headers],[8]]</f>
        <v>150.70801340458473</v>
      </c>
      <c r="K77">
        <f>K71/(1+$B$12)^Table47[[#Headers],[9]]</f>
        <v>152.32803462743496</v>
      </c>
      <c r="L77">
        <f>L71/(1+$B$12)^Table47[[#Headers],[10]]</f>
        <v>153.96547011183108</v>
      </c>
      <c r="M77">
        <f>M71/(1+$B$12)^Table47[[#Headers],[11]]</f>
        <v>155.62050705069427</v>
      </c>
      <c r="N77">
        <f>N71/(1+$B$12)^Table47[[#Headers],[12]]</f>
        <v>157.29333464915806</v>
      </c>
      <c r="O77">
        <f>O71/(1+$B$12)^Table47[[#Headers],[13]]</f>
        <v>158.98414414619816</v>
      </c>
      <c r="P77">
        <f>P71/(1+$B$12)^Table47[[#Headers],[14]]</f>
        <v>160.69312883649525</v>
      </c>
      <c r="Q77">
        <f>Q71/(1+$B$12)^Table47[[#Headers],[15]]</f>
        <v>162.42048409253243</v>
      </c>
      <c r="R77">
        <f>R71/(1+$B$12)^Table47[[#Headers],[16]]</f>
        <v>164.16640738693042</v>
      </c>
      <c r="S77">
        <f>S71/(1+$B$12)^Table47[[#Headers],[17]]</f>
        <v>165.93109831502287</v>
      </c>
      <c r="T77">
        <f>T71/(1+$B$12)^Table47[[#Headers],[18]]</f>
        <v>167.71475861767414</v>
      </c>
      <c r="U77">
        <f>U71/(1+$B$12)^Table47[[#Headers],[19]]</f>
        <v>169.51759220434238</v>
      </c>
      <c r="V77">
        <f>V71/(1+$B$12)^Table47[[#Headers],[20]]</f>
        <v>171.33980517639091</v>
      </c>
    </row>
    <row r="79" spans="1:22" ht="15.75" thickBot="1" x14ac:dyDescent="0.3"/>
    <row r="80" spans="1:22" ht="16.5" thickTop="1" thickBot="1" x14ac:dyDescent="0.3">
      <c r="A80" s="71" t="s">
        <v>82</v>
      </c>
    </row>
    <row r="81" spans="1:22" ht="15.75" thickTop="1" x14ac:dyDescent="0.25">
      <c r="A81" s="101" t="s">
        <v>107</v>
      </c>
      <c r="B81" s="101" t="s">
        <v>129</v>
      </c>
      <c r="C81" s="101" t="s">
        <v>87</v>
      </c>
      <c r="D81" s="101" t="s">
        <v>88</v>
      </c>
      <c r="E81" s="101" t="s">
        <v>89</v>
      </c>
      <c r="F81" s="101" t="s">
        <v>90</v>
      </c>
      <c r="G81" s="101" t="s">
        <v>91</v>
      </c>
      <c r="H81" s="101" t="s">
        <v>92</v>
      </c>
      <c r="I81" s="101" t="s">
        <v>93</v>
      </c>
      <c r="J81" s="101" t="s">
        <v>94</v>
      </c>
      <c r="K81" s="101" t="s">
        <v>95</v>
      </c>
      <c r="L81" s="101" t="s">
        <v>96</v>
      </c>
      <c r="M81" s="101" t="s">
        <v>97</v>
      </c>
      <c r="N81" s="101" t="s">
        <v>98</v>
      </c>
      <c r="O81" s="101" t="s">
        <v>99</v>
      </c>
      <c r="P81" s="101" t="s">
        <v>100</v>
      </c>
      <c r="Q81" s="101" t="s">
        <v>101</v>
      </c>
      <c r="R81" s="101" t="s">
        <v>102</v>
      </c>
      <c r="S81" s="101" t="s">
        <v>103</v>
      </c>
      <c r="T81" s="101" t="s">
        <v>104</v>
      </c>
      <c r="U81" s="101" t="s">
        <v>105</v>
      </c>
      <c r="V81" s="102" t="s">
        <v>106</v>
      </c>
    </row>
    <row r="82" spans="1:22" x14ac:dyDescent="0.25">
      <c r="A82" s="100" t="s">
        <v>138</v>
      </c>
      <c r="B82">
        <v>0</v>
      </c>
      <c r="C82">
        <v>1500</v>
      </c>
      <c r="D82">
        <v>1500</v>
      </c>
      <c r="E82">
        <v>1500</v>
      </c>
      <c r="F82">
        <v>1500</v>
      </c>
      <c r="G82">
        <v>1500</v>
      </c>
      <c r="H82">
        <v>1500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1500</v>
      </c>
      <c r="Q82">
        <v>1500</v>
      </c>
      <c r="R82">
        <v>1500</v>
      </c>
      <c r="S82">
        <v>1500</v>
      </c>
      <c r="T82">
        <v>1500</v>
      </c>
      <c r="U82">
        <v>1500</v>
      </c>
      <c r="V82">
        <v>1500</v>
      </c>
    </row>
    <row r="83" spans="1:22" x14ac:dyDescent="0.25">
      <c r="A83" s="97" t="s">
        <v>139</v>
      </c>
      <c r="B83">
        <v>0</v>
      </c>
      <c r="C83">
        <v>1680</v>
      </c>
      <c r="D83">
        <v>1680</v>
      </c>
      <c r="E83">
        <v>1680</v>
      </c>
      <c r="F83">
        <v>1680</v>
      </c>
      <c r="G83">
        <v>1680</v>
      </c>
      <c r="H83">
        <v>1680</v>
      </c>
      <c r="I83">
        <v>1680</v>
      </c>
      <c r="J83">
        <v>1680</v>
      </c>
      <c r="K83">
        <v>1680</v>
      </c>
      <c r="L83">
        <v>1680</v>
      </c>
      <c r="M83">
        <v>1680</v>
      </c>
      <c r="N83">
        <v>1680</v>
      </c>
      <c r="O83">
        <v>1680</v>
      </c>
      <c r="P83">
        <v>1680</v>
      </c>
      <c r="Q83">
        <v>1680</v>
      </c>
      <c r="R83">
        <v>1680</v>
      </c>
      <c r="S83">
        <v>1680</v>
      </c>
      <c r="T83">
        <v>1680</v>
      </c>
      <c r="U83">
        <v>1680</v>
      </c>
      <c r="V83">
        <v>1680</v>
      </c>
    </row>
    <row r="84" spans="1:22" ht="15.75" thickBot="1" x14ac:dyDescent="0.3"/>
    <row r="85" spans="1:22" ht="16.5" thickTop="1" thickBot="1" x14ac:dyDescent="0.3">
      <c r="A85" s="71" t="s">
        <v>147</v>
      </c>
    </row>
    <row r="86" spans="1:22" ht="15.75" thickTop="1" x14ac:dyDescent="0.25">
      <c r="A86" s="101" t="s">
        <v>107</v>
      </c>
      <c r="B86" s="101" t="s">
        <v>129</v>
      </c>
      <c r="C86" s="101" t="s">
        <v>87</v>
      </c>
      <c r="D86" s="101" t="s">
        <v>88</v>
      </c>
      <c r="E86" s="101" t="s">
        <v>89</v>
      </c>
      <c r="F86" s="101" t="s">
        <v>90</v>
      </c>
      <c r="G86" s="101" t="s">
        <v>91</v>
      </c>
      <c r="H86" s="101" t="s">
        <v>92</v>
      </c>
      <c r="I86" s="101" t="s">
        <v>93</v>
      </c>
      <c r="J86" s="101" t="s">
        <v>94</v>
      </c>
      <c r="K86" s="101" t="s">
        <v>95</v>
      </c>
      <c r="L86" s="101" t="s">
        <v>96</v>
      </c>
      <c r="M86" s="101" t="s">
        <v>97</v>
      </c>
      <c r="N86" s="101" t="s">
        <v>98</v>
      </c>
      <c r="O86" s="101" t="s">
        <v>99</v>
      </c>
      <c r="P86" s="101" t="s">
        <v>100</v>
      </c>
      <c r="Q86" s="101" t="s">
        <v>101</v>
      </c>
      <c r="R86" s="101" t="s">
        <v>102</v>
      </c>
      <c r="S86" s="101" t="s">
        <v>103</v>
      </c>
      <c r="T86" s="101" t="s">
        <v>104</v>
      </c>
      <c r="U86" s="101" t="s">
        <v>105</v>
      </c>
      <c r="V86" s="102" t="s">
        <v>106</v>
      </c>
    </row>
    <row r="87" spans="1:22" x14ac:dyDescent="0.25">
      <c r="A87" s="100" t="s">
        <v>138</v>
      </c>
      <c r="B87">
        <f>B82/(1+$B$12)^Table48[[#Headers],[0]]</f>
        <v>0</v>
      </c>
      <c r="C87">
        <f>C82/(1+$B$12)^Table48[[#Headers],[1]]</f>
        <v>1486.3961813842482</v>
      </c>
      <c r="D87">
        <f>D82/(1+$B$12)^Table48[[#Headers],[2]]</f>
        <v>1472.9157386891166</v>
      </c>
      <c r="E87">
        <f>E82/(1+$B$12)^Table48[[#Headers],[3]]</f>
        <v>1459.5575529921746</v>
      </c>
      <c r="F87">
        <f>F82/(1+$B$12)^Table48[[#Headers],[4]]</f>
        <v>1446.3205155187372</v>
      </c>
      <c r="G87">
        <f>G82/(1+$B$12)^Table48[[#Headers],[5]]</f>
        <v>1433.203527549832</v>
      </c>
      <c r="H87">
        <f>H82/(1+$B$12)^Table48[[#Headers],[6]]</f>
        <v>1420.2055003310031</v>
      </c>
      <c r="I87">
        <f>I82/(1+$B$12)^Table48[[#Headers],[7]]</f>
        <v>1407.325354981939</v>
      </c>
      <c r="J87">
        <f>J82/(1+$B$12)^Table48[[#Headers],[8]]</f>
        <v>1394.5620224069239</v>
      </c>
      <c r="K87">
        <f>K82/(1+$B$12)^Table48[[#Headers],[9]]</f>
        <v>1381.9144432060975</v>
      </c>
      <c r="L87">
        <f>L82/(1+$B$12)^Table48[[#Headers],[10]]</f>
        <v>1369.3815675875217</v>
      </c>
      <c r="M87">
        <f>M82/(1+$B$12)^Table48[[#Headers],[11]]</f>
        <v>1356.9623552800454</v>
      </c>
      <c r="N87">
        <f>N82/(1+$B$12)^Table48[[#Headers],[12]]</f>
        <v>1344.6557754469568</v>
      </c>
      <c r="O87">
        <f>O82/(1+$B$12)^Table48[[#Headers],[13]]</f>
        <v>1332.4608066004209</v>
      </c>
      <c r="P87">
        <f>P82/(1+$B$12)^Table48[[#Headers],[14]]</f>
        <v>1320.376436516694</v>
      </c>
      <c r="Q87">
        <f>Q82/(1+$B$12)^Table48[[#Headers],[15]]</f>
        <v>1308.4016621521034</v>
      </c>
      <c r="R87">
        <f>R82/(1+$B$12)^Table48[[#Headers],[16]]</f>
        <v>1296.5354895597932</v>
      </c>
      <c r="S87">
        <f>S82/(1+$B$12)^Table48[[#Headers],[17]]</f>
        <v>1284.7769338072221</v>
      </c>
      <c r="T87">
        <f>T82/(1+$B$12)^Table48[[#Headers],[18]]</f>
        <v>1273.1250188944123</v>
      </c>
      <c r="U87">
        <f>U82/(1+$B$12)^Table48[[#Headers],[19]]</f>
        <v>1261.5787776729353</v>
      </c>
      <c r="V87">
        <f>V82/(1+$B$12)^Table48[[#Headers],[20]]</f>
        <v>1250.1372517656389</v>
      </c>
    </row>
    <row r="88" spans="1:22" x14ac:dyDescent="0.25">
      <c r="A88" s="97" t="s">
        <v>139</v>
      </c>
      <c r="B88">
        <f>B83/(1+$B$12)^Table48[[#Headers],[0]]</f>
        <v>0</v>
      </c>
      <c r="C88">
        <f>C83/(1+$B$12)^Table48[[#Headers],[1]]</f>
        <v>1664.7637231503579</v>
      </c>
      <c r="D88">
        <f>D83/(1+$B$12)^Table48[[#Headers],[2]]</f>
        <v>1649.6656273318106</v>
      </c>
      <c r="E88">
        <f>E83/(1+$B$12)^Table48[[#Headers],[3]]</f>
        <v>1634.7044593512355</v>
      </c>
      <c r="F88">
        <f>F83/(1+$B$12)^Table48[[#Headers],[4]]</f>
        <v>1619.8789773809856</v>
      </c>
      <c r="G88">
        <f>G83/(1+$B$12)^Table48[[#Headers],[5]]</f>
        <v>1605.1879508558118</v>
      </c>
      <c r="H88">
        <f>H83/(1+$B$12)^Table48[[#Headers],[6]]</f>
        <v>1590.6301603707236</v>
      </c>
      <c r="I88">
        <f>I83/(1+$B$12)^Table48[[#Headers],[7]]</f>
        <v>1576.2043975797717</v>
      </c>
      <c r="J88">
        <f>J83/(1+$B$12)^Table48[[#Headers],[8]]</f>
        <v>1561.9094650957547</v>
      </c>
      <c r="K88">
        <f>K83/(1+$B$12)^Table48[[#Headers],[9]]</f>
        <v>1547.7441763908291</v>
      </c>
      <c r="L88">
        <f>L83/(1+$B$12)^Table48[[#Headers],[10]]</f>
        <v>1533.7073556980245</v>
      </c>
      <c r="M88">
        <f>M83/(1+$B$12)^Table48[[#Headers],[11]]</f>
        <v>1519.7978379136507</v>
      </c>
      <c r="N88">
        <f>N83/(1+$B$12)^Table48[[#Headers],[12]]</f>
        <v>1506.0144685005914</v>
      </c>
      <c r="O88">
        <f>O83/(1+$B$12)^Table48[[#Headers],[13]]</f>
        <v>1492.3561033924714</v>
      </c>
      <c r="P88">
        <f>P83/(1+$B$12)^Table48[[#Headers],[14]]</f>
        <v>1478.8216088986971</v>
      </c>
      <c r="Q88">
        <f>Q83/(1+$B$12)^Table48[[#Headers],[15]]</f>
        <v>1465.4098616103558</v>
      </c>
      <c r="R88">
        <f>R83/(1+$B$12)^Table48[[#Headers],[16]]</f>
        <v>1452.1197483069684</v>
      </c>
      <c r="S88">
        <f>S83/(1+$B$12)^Table48[[#Headers],[17]]</f>
        <v>1438.9501658640888</v>
      </c>
      <c r="T88">
        <f>T83/(1+$B$12)^Table48[[#Headers],[18]]</f>
        <v>1425.9000211617417</v>
      </c>
      <c r="U88">
        <f>U83/(1+$B$12)^Table48[[#Headers],[19]]</f>
        <v>1412.9682309936877</v>
      </c>
      <c r="V88">
        <f>V83/(1+$B$12)^Table48[[#Headers],[20]]</f>
        <v>1400.1537219775155</v>
      </c>
    </row>
    <row r="93" spans="1:22" x14ac:dyDescent="0.25">
      <c r="A93" s="104" t="s">
        <v>107</v>
      </c>
      <c r="B93" s="104" t="s">
        <v>148</v>
      </c>
      <c r="C93" s="104" t="s">
        <v>149</v>
      </c>
      <c r="D93" s="104" t="s">
        <v>150</v>
      </c>
    </row>
    <row r="94" spans="1:22" x14ac:dyDescent="0.25">
      <c r="A94" s="105" t="s">
        <v>138</v>
      </c>
      <c r="B94" s="74">
        <f>SUM(B76:V76)</f>
        <v>5538.7547780632685</v>
      </c>
      <c r="C94" s="74">
        <f>SUM(C87:V87)</f>
        <v>27300.792912343812</v>
      </c>
      <c r="D94" s="74">
        <f>B94/C94</f>
        <v>0.20287889790772229</v>
      </c>
    </row>
    <row r="95" spans="1:22" x14ac:dyDescent="0.25">
      <c r="A95" s="105" t="s">
        <v>139</v>
      </c>
      <c r="B95" s="74">
        <f>SUM(B77:V77)</f>
        <v>4101.7026757154299</v>
      </c>
      <c r="C95" s="74">
        <f>SUM(C88:V88)</f>
        <v>30576.88806182507</v>
      </c>
      <c r="D95" s="74">
        <f>B95/C95</f>
        <v>0.13414388892100382</v>
      </c>
    </row>
  </sheetData>
  <pageMargins left="0.7" right="0.7" top="0.75" bottom="0.75" header="0.3" footer="0.3"/>
  <pageSetup orientation="portrait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1:V81"/>
  <sheetViews>
    <sheetView tabSelected="1" topLeftCell="A64" workbookViewId="0">
      <selection activeCell="K86" sqref="K86"/>
    </sheetView>
  </sheetViews>
  <sheetFormatPr defaultRowHeight="15" x14ac:dyDescent="0.25"/>
  <cols>
    <col min="1" max="1" width="32.5703125" bestFit="1" customWidth="1"/>
  </cols>
  <sheetData>
    <row r="11" spans="1:22" ht="15.75" thickBot="1" x14ac:dyDescent="0.3"/>
    <row r="12" spans="1:22" ht="15.75" thickTop="1" x14ac:dyDescent="0.25">
      <c r="A12" s="72" t="s">
        <v>108</v>
      </c>
    </row>
    <row r="13" spans="1:22" x14ac:dyDescent="0.25">
      <c r="A13" s="69" t="s">
        <v>107</v>
      </c>
      <c r="B13" s="98" t="s">
        <v>129</v>
      </c>
      <c r="C13" s="98" t="s">
        <v>87</v>
      </c>
      <c r="D13" s="98" t="s">
        <v>88</v>
      </c>
      <c r="E13" s="98" t="s">
        <v>89</v>
      </c>
      <c r="F13" s="98" t="s">
        <v>90</v>
      </c>
      <c r="G13" s="98" t="s">
        <v>91</v>
      </c>
      <c r="H13" s="98" t="s">
        <v>92</v>
      </c>
      <c r="I13" s="98" t="s">
        <v>93</v>
      </c>
      <c r="J13" s="98" t="s">
        <v>94</v>
      </c>
      <c r="K13" s="106" t="s">
        <v>95</v>
      </c>
      <c r="L13" s="107" t="s">
        <v>96</v>
      </c>
      <c r="M13" s="107" t="s">
        <v>97</v>
      </c>
      <c r="N13" s="107" t="s">
        <v>98</v>
      </c>
      <c r="O13" s="107" t="s">
        <v>99</v>
      </c>
      <c r="P13" s="107" t="s">
        <v>100</v>
      </c>
      <c r="Q13" s="107" t="s">
        <v>101</v>
      </c>
      <c r="R13" s="107" t="s">
        <v>102</v>
      </c>
      <c r="S13" s="107" t="s">
        <v>103</v>
      </c>
      <c r="T13" s="107" t="s">
        <v>104</v>
      </c>
      <c r="U13" s="107" t="s">
        <v>105</v>
      </c>
      <c r="V13" s="107" t="s">
        <v>106</v>
      </c>
    </row>
    <row r="14" spans="1:22" x14ac:dyDescent="0.25">
      <c r="A14" t="s">
        <v>77</v>
      </c>
      <c r="B14">
        <v>-2100</v>
      </c>
      <c r="C14">
        <v>184.88000000000002</v>
      </c>
      <c r="D14">
        <v>188.77760000000004</v>
      </c>
      <c r="E14">
        <v>192.75315200000003</v>
      </c>
      <c r="F14">
        <v>196.80821504000002</v>
      </c>
      <c r="G14">
        <v>200.94437934080003</v>
      </c>
      <c r="H14">
        <v>205.16326692761604</v>
      </c>
      <c r="I14">
        <v>209.46653226616837</v>
      </c>
      <c r="J14">
        <v>213.85586291149167</v>
      </c>
      <c r="K14">
        <v>218.33298016972154</v>
      </c>
      <c r="L14" s="108">
        <v>222.89963977311595</v>
      </c>
      <c r="M14" s="108">
        <v>227.5576325685783</v>
      </c>
      <c r="N14" s="108">
        <v>232.30878521994981</v>
      </c>
      <c r="O14" s="108">
        <v>237.15496092434884</v>
      </c>
      <c r="P14" s="108">
        <v>242.09806014283581</v>
      </c>
      <c r="Q14" s="108">
        <v>247.14002134569256</v>
      </c>
      <c r="R14" s="108">
        <v>252.28282177260633</v>
      </c>
      <c r="S14" s="108">
        <v>257.52847820805852</v>
      </c>
      <c r="T14" s="108">
        <v>262.87904777221968</v>
      </c>
      <c r="U14" s="108">
        <v>268.33662872766405</v>
      </c>
      <c r="V14" s="108">
        <v>327.90336130221732</v>
      </c>
    </row>
    <row r="15" spans="1:22" x14ac:dyDescent="0.25">
      <c r="A15" t="s">
        <v>78</v>
      </c>
      <c r="B15">
        <v>-1134</v>
      </c>
      <c r="C15">
        <v>73.2</v>
      </c>
      <c r="D15">
        <v>74.88000000000001</v>
      </c>
      <c r="E15">
        <v>76.593599999999995</v>
      </c>
      <c r="F15">
        <v>78.341471999999996</v>
      </c>
      <c r="G15">
        <v>80.124301439999996</v>
      </c>
      <c r="H15">
        <v>81.942787468800006</v>
      </c>
      <c r="I15">
        <v>83.797643218176006</v>
      </c>
      <c r="J15">
        <v>85.689596082539509</v>
      </c>
      <c r="K15">
        <v>87.619388004190313</v>
      </c>
      <c r="L15" s="108">
        <v>89.587775764274113</v>
      </c>
      <c r="M15" s="108">
        <v>91.595531279559594</v>
      </c>
      <c r="N15" s="108">
        <v>93.643441905150766</v>
      </c>
      <c r="O15" s="108">
        <v>95.732310743253805</v>
      </c>
      <c r="P15" s="108">
        <v>97.862956958118872</v>
      </c>
      <c r="Q15" s="108">
        <v>100.03621609728127</v>
      </c>
      <c r="R15" s="108">
        <v>102.25294041922686</v>
      </c>
      <c r="S15" s="108">
        <v>104.51399922761142</v>
      </c>
      <c r="T15" s="108">
        <v>106.82027921216365</v>
      </c>
      <c r="U15" s="108">
        <v>109.17268479640691</v>
      </c>
      <c r="V15" s="108">
        <v>161.57213849233506</v>
      </c>
    </row>
    <row r="18" spans="1:22" ht="15.75" thickBot="1" x14ac:dyDescent="0.3"/>
    <row r="19" spans="1:22" ht="16.5" thickTop="1" thickBot="1" x14ac:dyDescent="0.3">
      <c r="A19" s="71" t="s">
        <v>109</v>
      </c>
    </row>
    <row r="20" spans="1:22" ht="15.75" thickTop="1" x14ac:dyDescent="0.25">
      <c r="A20" t="s">
        <v>107</v>
      </c>
      <c r="B20" s="98" t="s">
        <v>129</v>
      </c>
      <c r="C20" s="98" t="s">
        <v>87</v>
      </c>
      <c r="D20" s="98" t="s">
        <v>88</v>
      </c>
      <c r="E20" s="98" t="s">
        <v>89</v>
      </c>
      <c r="F20" s="98" t="s">
        <v>90</v>
      </c>
      <c r="G20" s="98" t="s">
        <v>91</v>
      </c>
      <c r="H20" s="98" t="s">
        <v>92</v>
      </c>
      <c r="I20" s="98" t="s">
        <v>93</v>
      </c>
      <c r="J20" s="98" t="s">
        <v>94</v>
      </c>
      <c r="K20" s="98" t="s">
        <v>95</v>
      </c>
      <c r="L20" s="98" t="s">
        <v>96</v>
      </c>
      <c r="M20" s="98" t="s">
        <v>97</v>
      </c>
      <c r="N20" s="98" t="s">
        <v>98</v>
      </c>
      <c r="O20" s="98" t="s">
        <v>99</v>
      </c>
      <c r="P20" s="98" t="s">
        <v>100</v>
      </c>
      <c r="Q20" s="98" t="s">
        <v>101</v>
      </c>
      <c r="R20" s="98" t="s">
        <v>102</v>
      </c>
      <c r="S20" s="98" t="s">
        <v>103</v>
      </c>
      <c r="T20" s="98" t="s">
        <v>104</v>
      </c>
      <c r="U20" s="98" t="s">
        <v>105</v>
      </c>
      <c r="V20" s="41" t="s">
        <v>106</v>
      </c>
    </row>
    <row r="21" spans="1:22" x14ac:dyDescent="0.25">
      <c r="A21" t="s">
        <v>77</v>
      </c>
      <c r="B21" s="96">
        <v>-2100</v>
      </c>
      <c r="C21" s="96">
        <v>183.20328400954656</v>
      </c>
      <c r="D21" s="96">
        <v>185.36899876797241</v>
      </c>
      <c r="E21" s="96">
        <v>187.55621257643247</v>
      </c>
      <c r="F21" s="96">
        <v>189.76517268998353</v>
      </c>
      <c r="G21" s="96">
        <v>191.99612887503079</v>
      </c>
      <c r="H21" s="96">
        <v>194.24933343765207</v>
      </c>
      <c r="I21" s="96">
        <v>196.52504125221412</v>
      </c>
      <c r="J21" s="96">
        <v>198.82350979028513</v>
      </c>
      <c r="K21" s="96">
        <v>201.14499914984577</v>
      </c>
      <c r="L21" s="96">
        <v>203.4897720848023</v>
      </c>
      <c r="M21" s="96">
        <v>205.8580940348061</v>
      </c>
      <c r="N21" s="96">
        <v>208.25023315538141</v>
      </c>
      <c r="O21" s="96">
        <v>210.66646034836609</v>
      </c>
      <c r="P21" s="96">
        <v>213.10704929266788</v>
      </c>
      <c r="Q21" s="96">
        <v>215.57227647534029</v>
      </c>
      <c r="R21" s="96">
        <v>218.06242122298147</v>
      </c>
      <c r="S21" s="96">
        <v>220.57776573345964</v>
      </c>
      <c r="T21" s="96">
        <v>223.11859510796819</v>
      </c>
      <c r="U21" s="96">
        <v>225.68519738341513</v>
      </c>
      <c r="V21" s="96">
        <v>273.28280462871288</v>
      </c>
    </row>
    <row r="22" spans="1:22" x14ac:dyDescent="0.25">
      <c r="A22" t="s">
        <v>78</v>
      </c>
      <c r="B22" s="96">
        <v>-1134</v>
      </c>
      <c r="C22" s="96">
        <v>72.53613365155131</v>
      </c>
      <c r="D22" s="96">
        <v>73.527953675360706</v>
      </c>
      <c r="E22" s="96">
        <v>74.528511593907609</v>
      </c>
      <c r="F22" s="96">
        <v>75.53791877969114</v>
      </c>
      <c r="G22" s="96">
        <v>76.556287644182717</v>
      </c>
      <c r="H22" s="96">
        <v>77.583731650429456</v>
      </c>
      <c r="I22" s="96">
        <v>78.620365325779616</v>
      </c>
      <c r="J22" s="96">
        <v>79.666304274732482</v>
      </c>
      <c r="K22" s="96">
        <v>80.721665191913118</v>
      </c>
      <c r="L22" s="96">
        <v>81.786565875174048</v>
      </c>
      <c r="M22" s="96">
        <v>82.861125238825508</v>
      </c>
      <c r="N22" s="96">
        <v>83.945463326995025</v>
      </c>
      <c r="O22" s="96">
        <v>85.039701327118735</v>
      </c>
      <c r="P22" s="96">
        <v>86.143961583565059</v>
      </c>
      <c r="Q22" s="96">
        <v>87.258367611393211</v>
      </c>
      <c r="R22" s="96">
        <v>88.383044110247113</v>
      </c>
      <c r="S22" s="96">
        <v>89.518116978387326</v>
      </c>
      <c r="T22" s="96">
        <v>90.663713326861497</v>
      </c>
      <c r="U22" s="96">
        <v>91.819961493815796</v>
      </c>
      <c r="V22" s="96">
        <v>134.65823278446996</v>
      </c>
    </row>
    <row r="27" spans="1:22" ht="15.75" thickBot="1" x14ac:dyDescent="0.3"/>
    <row r="28" spans="1:22" ht="16.5" thickTop="1" thickBot="1" x14ac:dyDescent="0.3">
      <c r="A28" s="71" t="s">
        <v>130</v>
      </c>
    </row>
    <row r="29" spans="1:22" ht="15.75" thickTop="1" x14ac:dyDescent="0.25">
      <c r="A29" t="s">
        <v>107</v>
      </c>
      <c r="B29" t="s">
        <v>129</v>
      </c>
      <c r="C29" t="s">
        <v>87</v>
      </c>
      <c r="D29" t="s">
        <v>88</v>
      </c>
      <c r="E29" t="s">
        <v>89</v>
      </c>
      <c r="F29" t="s">
        <v>90</v>
      </c>
      <c r="G29" t="s">
        <v>91</v>
      </c>
      <c r="H29" t="s">
        <v>92</v>
      </c>
      <c r="I29" t="s">
        <v>93</v>
      </c>
      <c r="J29" t="s">
        <v>94</v>
      </c>
      <c r="K29" t="s">
        <v>95</v>
      </c>
      <c r="L29" t="s">
        <v>96</v>
      </c>
      <c r="M29" t="s">
        <v>97</v>
      </c>
      <c r="N29" t="s">
        <v>98</v>
      </c>
      <c r="O29" t="s">
        <v>99</v>
      </c>
      <c r="P29" t="s">
        <v>100</v>
      </c>
      <c r="Q29" t="s">
        <v>101</v>
      </c>
      <c r="R29" t="s">
        <v>102</v>
      </c>
      <c r="S29" t="s">
        <v>103</v>
      </c>
      <c r="T29" t="s">
        <v>104</v>
      </c>
      <c r="U29" t="s">
        <v>105</v>
      </c>
      <c r="V29" t="s">
        <v>106</v>
      </c>
    </row>
    <row r="30" spans="1:22" x14ac:dyDescent="0.25">
      <c r="A30" t="s">
        <v>77</v>
      </c>
      <c r="B30" s="93">
        <v>0</v>
      </c>
      <c r="C30" s="93">
        <v>336</v>
      </c>
      <c r="D30" s="93">
        <v>342.72</v>
      </c>
      <c r="E30" s="93">
        <v>349.57439999999997</v>
      </c>
      <c r="F30" s="93">
        <v>356.56588799999997</v>
      </c>
      <c r="G30" s="93">
        <v>363.69720575999997</v>
      </c>
      <c r="H30" s="93">
        <v>370.97114987520001</v>
      </c>
      <c r="I30" s="93">
        <v>378.39057287270401</v>
      </c>
      <c r="J30" s="93">
        <v>385.95838433015803</v>
      </c>
      <c r="K30" s="93">
        <v>393.67755201676124</v>
      </c>
      <c r="L30" s="93">
        <v>401.55110305709644</v>
      </c>
      <c r="M30" s="93">
        <v>409.58212511823837</v>
      </c>
      <c r="N30" s="93">
        <v>417.77376762060305</v>
      </c>
      <c r="O30" s="93">
        <v>426.12924297301521</v>
      </c>
      <c r="P30" s="93">
        <v>434.65182783247548</v>
      </c>
      <c r="Q30" s="93">
        <v>443.34486438912506</v>
      </c>
      <c r="R30" s="93">
        <v>452.21176167690743</v>
      </c>
      <c r="S30" s="93">
        <v>461.25599691044567</v>
      </c>
      <c r="T30" s="93">
        <v>470.48111684865461</v>
      </c>
      <c r="U30" s="93">
        <v>479.89073918562764</v>
      </c>
      <c r="V30" s="93">
        <v>543.48855396934016</v>
      </c>
    </row>
    <row r="31" spans="1:22" x14ac:dyDescent="0.25">
      <c r="A31" t="s">
        <v>78</v>
      </c>
      <c r="B31" s="93">
        <v>0</v>
      </c>
      <c r="C31" s="93">
        <v>336</v>
      </c>
      <c r="D31" s="93">
        <v>342.72</v>
      </c>
      <c r="E31" s="93">
        <v>349.57439999999997</v>
      </c>
      <c r="F31" s="93">
        <v>356.56588799999997</v>
      </c>
      <c r="G31" s="93">
        <v>363.69720575999997</v>
      </c>
      <c r="H31" s="93">
        <v>370.97114987520001</v>
      </c>
      <c r="I31" s="93">
        <v>378.39057287270401</v>
      </c>
      <c r="J31" s="93">
        <v>385.95838433015803</v>
      </c>
      <c r="K31" s="93">
        <v>393.67755201676124</v>
      </c>
      <c r="L31" s="93">
        <v>401.55110305709644</v>
      </c>
      <c r="M31" s="93">
        <v>409.58212511823837</v>
      </c>
      <c r="N31" s="93">
        <v>417.77376762060305</v>
      </c>
      <c r="O31" s="93">
        <v>426.12924297301521</v>
      </c>
      <c r="P31" s="93">
        <v>434.65182783247548</v>
      </c>
      <c r="Q31" s="93">
        <v>443.34486438912506</v>
      </c>
      <c r="R31" s="93">
        <v>452.21176167690743</v>
      </c>
      <c r="S31" s="93">
        <v>461.25599691044567</v>
      </c>
      <c r="T31" s="93">
        <v>470.48111684865461</v>
      </c>
      <c r="U31" s="93">
        <v>479.89073918562764</v>
      </c>
      <c r="V31" s="93">
        <v>539.48855396934016</v>
      </c>
    </row>
    <row r="33" spans="1:22" ht="15.75" thickBot="1" x14ac:dyDescent="0.3"/>
    <row r="34" spans="1:22" ht="16.5" thickTop="1" thickBot="1" x14ac:dyDescent="0.3">
      <c r="A34" s="71" t="s">
        <v>131</v>
      </c>
    </row>
    <row r="35" spans="1:22" ht="15.75" thickTop="1" x14ac:dyDescent="0.25">
      <c r="A35" t="s">
        <v>107</v>
      </c>
      <c r="B35" t="s">
        <v>129</v>
      </c>
      <c r="C35" t="s">
        <v>87</v>
      </c>
      <c r="D35" t="s">
        <v>88</v>
      </c>
      <c r="E35" t="s">
        <v>89</v>
      </c>
      <c r="F35" t="s">
        <v>90</v>
      </c>
      <c r="G35" t="s">
        <v>91</v>
      </c>
      <c r="H35" t="s">
        <v>92</v>
      </c>
      <c r="I35" t="s">
        <v>93</v>
      </c>
      <c r="J35" t="s">
        <v>94</v>
      </c>
      <c r="K35" t="s">
        <v>95</v>
      </c>
      <c r="L35" t="s">
        <v>96</v>
      </c>
      <c r="M35" t="s">
        <v>97</v>
      </c>
      <c r="N35" t="s">
        <v>98</v>
      </c>
      <c r="O35" t="s">
        <v>99</v>
      </c>
      <c r="P35" t="s">
        <v>100</v>
      </c>
      <c r="Q35" t="s">
        <v>101</v>
      </c>
      <c r="R35" t="s">
        <v>102</v>
      </c>
      <c r="S35" t="s">
        <v>103</v>
      </c>
      <c r="T35" t="s">
        <v>104</v>
      </c>
      <c r="U35" t="s">
        <v>105</v>
      </c>
      <c r="V35" t="s">
        <v>106</v>
      </c>
    </row>
    <row r="36" spans="1:22" x14ac:dyDescent="0.25">
      <c r="A36" t="s">
        <v>77</v>
      </c>
      <c r="B36" s="93">
        <v>-2100</v>
      </c>
      <c r="C36" s="93">
        <v>-151.12</v>
      </c>
      <c r="D36" s="93">
        <v>-153.94240000000002</v>
      </c>
      <c r="E36" s="93">
        <v>-156.821248</v>
      </c>
      <c r="F36" s="93">
        <v>-159.75767296000001</v>
      </c>
      <c r="G36" s="93">
        <v>-162.75282641920001</v>
      </c>
      <c r="H36" s="93">
        <v>-165.80788294758401</v>
      </c>
      <c r="I36" s="93">
        <v>-168.9240406065357</v>
      </c>
      <c r="J36" s="93">
        <v>-172.10252141866638</v>
      </c>
      <c r="K36" s="93">
        <v>-175.3445718470397</v>
      </c>
      <c r="L36" s="93">
        <v>-178.65146328398052</v>
      </c>
      <c r="M36" s="93">
        <v>-182.02449254966012</v>
      </c>
      <c r="N36" s="93">
        <v>-185.4649824006533</v>
      </c>
      <c r="O36" s="93">
        <v>-188.9742820486664</v>
      </c>
      <c r="P36" s="93">
        <v>-192.5537676896397</v>
      </c>
      <c r="Q36" s="93">
        <v>-196.20484304343253</v>
      </c>
      <c r="R36" s="93">
        <v>-199.92893990430113</v>
      </c>
      <c r="S36" s="93">
        <v>-203.72751870238719</v>
      </c>
      <c r="T36" s="93">
        <v>-207.60206907643493</v>
      </c>
      <c r="U36" s="93">
        <v>-211.55411045796362</v>
      </c>
      <c r="V36" s="93">
        <v>-215.58519266712287</v>
      </c>
    </row>
    <row r="37" spans="1:22" x14ac:dyDescent="0.25">
      <c r="A37" t="s">
        <v>78</v>
      </c>
      <c r="B37" s="93">
        <v>-1134</v>
      </c>
      <c r="C37" s="93">
        <v>-262.8</v>
      </c>
      <c r="D37" s="93">
        <v>-267.84000000000003</v>
      </c>
      <c r="E37" s="93">
        <v>-272.98080000000004</v>
      </c>
      <c r="F37" s="93">
        <v>-278.22441600000002</v>
      </c>
      <c r="G37" s="93">
        <v>-283.57290432000002</v>
      </c>
      <c r="H37" s="93">
        <v>-289.02836240640005</v>
      </c>
      <c r="I37" s="93">
        <v>-294.59292965452806</v>
      </c>
      <c r="J37" s="93">
        <v>-300.26878824761855</v>
      </c>
      <c r="K37" s="93">
        <v>-306.05816401257096</v>
      </c>
      <c r="L37" s="93">
        <v>-311.96332729282238</v>
      </c>
      <c r="M37" s="93">
        <v>-317.98659383867886</v>
      </c>
      <c r="N37" s="93">
        <v>-324.13032571545233</v>
      </c>
      <c r="O37" s="93">
        <v>-330.39693222976143</v>
      </c>
      <c r="P37" s="93">
        <v>-336.78887087435669</v>
      </c>
      <c r="Q37" s="93">
        <v>-343.30864829184384</v>
      </c>
      <c r="R37" s="93">
        <v>-349.9588212576806</v>
      </c>
      <c r="S37" s="93">
        <v>-356.74199768283427</v>
      </c>
      <c r="T37" s="93">
        <v>-363.66083763649101</v>
      </c>
      <c r="U37" s="93">
        <v>-370.71805438922075</v>
      </c>
      <c r="V37" s="93">
        <v>-377.91641547700516</v>
      </c>
    </row>
    <row r="39" spans="1:22" ht="15.75" thickBot="1" x14ac:dyDescent="0.3"/>
    <row r="40" spans="1:22" ht="16.5" thickTop="1" thickBot="1" x14ac:dyDescent="0.3">
      <c r="A40" s="71" t="s">
        <v>132</v>
      </c>
      <c r="V40" s="92"/>
    </row>
    <row r="41" spans="1:22" ht="15.75" thickTop="1" x14ac:dyDescent="0.25">
      <c r="A41" s="101" t="s">
        <v>107</v>
      </c>
      <c r="B41" s="101" t="s">
        <v>129</v>
      </c>
      <c r="C41" s="101" t="s">
        <v>87</v>
      </c>
      <c r="D41" s="101" t="s">
        <v>88</v>
      </c>
      <c r="E41" s="101" t="s">
        <v>89</v>
      </c>
      <c r="F41" s="101" t="s">
        <v>90</v>
      </c>
      <c r="G41" s="101" t="s">
        <v>91</v>
      </c>
      <c r="H41" s="101" t="s">
        <v>92</v>
      </c>
      <c r="I41" s="101" t="s">
        <v>93</v>
      </c>
      <c r="J41" s="101" t="s">
        <v>94</v>
      </c>
      <c r="K41" s="101" t="s">
        <v>95</v>
      </c>
      <c r="L41" s="101" t="s">
        <v>96</v>
      </c>
      <c r="M41" s="101" t="s">
        <v>97</v>
      </c>
      <c r="N41" s="101" t="s">
        <v>98</v>
      </c>
      <c r="O41" s="101" t="s">
        <v>99</v>
      </c>
      <c r="P41" s="101" t="s">
        <v>100</v>
      </c>
      <c r="Q41" s="101" t="s">
        <v>101</v>
      </c>
      <c r="R41" s="101" t="s">
        <v>102</v>
      </c>
      <c r="S41" s="101" t="s">
        <v>103</v>
      </c>
      <c r="T41" s="101" t="s">
        <v>104</v>
      </c>
      <c r="U41" s="101" t="s">
        <v>105</v>
      </c>
      <c r="V41" s="102" t="s">
        <v>106</v>
      </c>
    </row>
    <row r="42" spans="1:22" x14ac:dyDescent="0.25">
      <c r="A42" s="100" t="s">
        <v>77</v>
      </c>
      <c r="B42" s="93">
        <v>0</v>
      </c>
      <c r="C42" s="93">
        <v>332.95274463007161</v>
      </c>
      <c r="D42" s="93">
        <v>336.53178797568938</v>
      </c>
      <c r="E42" s="93">
        <v>340.14930390180507</v>
      </c>
      <c r="F42" s="93">
        <v>343.80570596570419</v>
      </c>
      <c r="G42" s="93">
        <v>347.50141217016602</v>
      </c>
      <c r="H42" s="93">
        <v>351.23684501125069</v>
      </c>
      <c r="I42" s="93">
        <v>355.01243152659833</v>
      </c>
      <c r="J42" s="93">
        <v>358.8286033442493</v>
      </c>
      <c r="K42" s="93">
        <v>362.68579673198803</v>
      </c>
      <c r="L42" s="93">
        <v>366.58445264721684</v>
      </c>
      <c r="M42" s="93">
        <v>370.52501678736729</v>
      </c>
      <c r="N42" s="93">
        <v>374.50793964085244</v>
      </c>
      <c r="O42" s="93">
        <v>378.53367653856702</v>
      </c>
      <c r="P42" s="93">
        <v>382.60268770594104</v>
      </c>
      <c r="Q42" s="93">
        <v>386.7154383155534</v>
      </c>
      <c r="R42" s="93">
        <v>390.87239854031048</v>
      </c>
      <c r="S42" s="93">
        <v>395.07404360719732</v>
      </c>
      <c r="T42" s="93">
        <v>399.32085385160508</v>
      </c>
      <c r="U42" s="93">
        <v>403.61331477224371</v>
      </c>
      <c r="V42" s="93">
        <v>452.95685815020801</v>
      </c>
    </row>
    <row r="43" spans="1:22" x14ac:dyDescent="0.25">
      <c r="A43" s="97" t="s">
        <v>78</v>
      </c>
      <c r="B43" s="93">
        <v>0</v>
      </c>
      <c r="C43" s="93">
        <v>332.95274463007161</v>
      </c>
      <c r="D43" s="93">
        <v>336.53178797568938</v>
      </c>
      <c r="E43" s="93">
        <v>340.14930390180507</v>
      </c>
      <c r="F43" s="93">
        <v>343.80570596570419</v>
      </c>
      <c r="G43" s="93">
        <v>347.50141217016602</v>
      </c>
      <c r="H43" s="93">
        <v>351.23684501125069</v>
      </c>
      <c r="I43" s="93">
        <v>355.01243152659833</v>
      </c>
      <c r="J43" s="93">
        <v>358.8286033442493</v>
      </c>
      <c r="K43" s="93">
        <v>362.68579673198803</v>
      </c>
      <c r="L43" s="93">
        <v>366.58445264721684</v>
      </c>
      <c r="M43" s="93">
        <v>370.52501678736729</v>
      </c>
      <c r="N43" s="93">
        <v>374.50793964085244</v>
      </c>
      <c r="O43" s="93">
        <v>378.53367653856702</v>
      </c>
      <c r="P43" s="93">
        <v>382.60268770594104</v>
      </c>
      <c r="Q43" s="93">
        <v>386.7154383155534</v>
      </c>
      <c r="R43" s="93">
        <v>390.87239854031048</v>
      </c>
      <c r="S43" s="93">
        <v>395.07404360719732</v>
      </c>
      <c r="T43" s="93">
        <v>399.32085385160508</v>
      </c>
      <c r="U43" s="93">
        <v>403.61331477224371</v>
      </c>
      <c r="V43" s="93">
        <v>449.62315881216631</v>
      </c>
    </row>
    <row r="44" spans="1:22" ht="15.75" thickBot="1" x14ac:dyDescent="0.3"/>
    <row r="45" spans="1:22" ht="16.5" thickTop="1" thickBot="1" x14ac:dyDescent="0.3">
      <c r="A45" s="71" t="s">
        <v>133</v>
      </c>
    </row>
    <row r="46" spans="1:22" ht="15.75" thickTop="1" x14ac:dyDescent="0.25">
      <c r="A46" s="101" t="s">
        <v>107</v>
      </c>
      <c r="B46" s="101" t="s">
        <v>129</v>
      </c>
      <c r="C46" s="101" t="s">
        <v>87</v>
      </c>
      <c r="D46" s="101" t="s">
        <v>88</v>
      </c>
      <c r="E46" s="101" t="s">
        <v>89</v>
      </c>
      <c r="F46" s="101" t="s">
        <v>90</v>
      </c>
      <c r="G46" s="101" t="s">
        <v>91</v>
      </c>
      <c r="H46" s="101" t="s">
        <v>92</v>
      </c>
      <c r="I46" s="101" t="s">
        <v>93</v>
      </c>
      <c r="J46" s="101" t="s">
        <v>94</v>
      </c>
      <c r="K46" s="101" t="s">
        <v>95</v>
      </c>
      <c r="L46" s="101" t="s">
        <v>96</v>
      </c>
      <c r="M46" s="101" t="s">
        <v>97</v>
      </c>
      <c r="N46" s="101" t="s">
        <v>98</v>
      </c>
      <c r="O46" s="101" t="s">
        <v>99</v>
      </c>
      <c r="P46" s="101" t="s">
        <v>100</v>
      </c>
      <c r="Q46" s="101" t="s">
        <v>101</v>
      </c>
      <c r="R46" s="101" t="s">
        <v>102</v>
      </c>
      <c r="S46" s="101" t="s">
        <v>103</v>
      </c>
      <c r="T46" s="101" t="s">
        <v>104</v>
      </c>
      <c r="U46" s="101" t="s">
        <v>105</v>
      </c>
      <c r="V46" s="102" t="s">
        <v>106</v>
      </c>
    </row>
    <row r="47" spans="1:22" x14ac:dyDescent="0.25">
      <c r="A47" s="100" t="s">
        <v>77</v>
      </c>
      <c r="B47" s="103">
        <v>-2100</v>
      </c>
      <c r="C47" s="103">
        <v>-149.74946062052507</v>
      </c>
      <c r="D47" s="103">
        <v>-151.162789207717</v>
      </c>
      <c r="E47" s="103">
        <v>-152.59309132537263</v>
      </c>
      <c r="F47" s="103">
        <v>-154.04053327572069</v>
      </c>
      <c r="G47" s="103">
        <v>-155.50528329513529</v>
      </c>
      <c r="H47" s="103">
        <v>-156.98751157359865</v>
      </c>
      <c r="I47" s="103">
        <v>-158.48739027438424</v>
      </c>
      <c r="J47" s="103">
        <v>-160.00509355396423</v>
      </c>
      <c r="K47" s="103">
        <v>-161.54079758214229</v>
      </c>
      <c r="L47" s="103">
        <v>-163.09468056241457</v>
      </c>
      <c r="M47" s="103">
        <v>-164.66692275256125</v>
      </c>
      <c r="N47" s="103">
        <v>-166.25770648547109</v>
      </c>
      <c r="O47" s="103">
        <v>-167.86721619020096</v>
      </c>
      <c r="P47" s="103">
        <v>-169.49563841327318</v>
      </c>
      <c r="Q47" s="103">
        <v>-171.14316184021311</v>
      </c>
      <c r="R47" s="103">
        <v>-172.80997731732904</v>
      </c>
      <c r="S47" s="103">
        <v>-174.49627787373768</v>
      </c>
      <c r="T47" s="103">
        <v>-176.20225874363686</v>
      </c>
      <c r="U47" s="103">
        <v>-177.92811738882861</v>
      </c>
      <c r="V47" s="103">
        <v>-179.67405352149515</v>
      </c>
    </row>
    <row r="48" spans="1:22" x14ac:dyDescent="0.25">
      <c r="A48" s="97" t="s">
        <v>78</v>
      </c>
      <c r="B48" s="103">
        <v>-1134</v>
      </c>
      <c r="C48" s="103">
        <v>-260.41661097852028</v>
      </c>
      <c r="D48" s="103">
        <v>-263.00383430032866</v>
      </c>
      <c r="E48" s="103">
        <v>-265.62079230789755</v>
      </c>
      <c r="F48" s="103">
        <v>-268.26778718601309</v>
      </c>
      <c r="G48" s="103">
        <v>-270.94512452598337</v>
      </c>
      <c r="H48" s="103">
        <v>-273.65311336082129</v>
      </c>
      <c r="I48" s="103">
        <v>-276.39206620081876</v>
      </c>
      <c r="J48" s="103">
        <v>-279.16229906951685</v>
      </c>
      <c r="K48" s="103">
        <v>-281.96413154007496</v>
      </c>
      <c r="L48" s="103">
        <v>-284.79788677204283</v>
      </c>
      <c r="M48" s="103">
        <v>-287.66389154854187</v>
      </c>
      <c r="N48" s="103">
        <v>-290.56247631385747</v>
      </c>
      <c r="O48" s="103">
        <v>-293.49397521144834</v>
      </c>
      <c r="P48" s="103">
        <v>-296.45872612237605</v>
      </c>
      <c r="Q48" s="103">
        <v>-299.45707070416023</v>
      </c>
      <c r="R48" s="103">
        <v>-302.48935443006337</v>
      </c>
      <c r="S48" s="103">
        <v>-305.55592662880997</v>
      </c>
      <c r="T48" s="103">
        <v>-308.65714052474362</v>
      </c>
      <c r="U48" s="103">
        <v>-311.79335327842796</v>
      </c>
      <c r="V48" s="103">
        <v>-314.96492602769638</v>
      </c>
    </row>
    <row r="61" spans="1:22" ht="15.75" thickBot="1" x14ac:dyDescent="0.3"/>
    <row r="62" spans="1:22" ht="16.5" thickTop="1" thickBot="1" x14ac:dyDescent="0.3">
      <c r="A62" s="71" t="s">
        <v>144</v>
      </c>
    </row>
    <row r="63" spans="1:22" ht="15.75" thickTop="1" x14ac:dyDescent="0.25">
      <c r="A63" t="s">
        <v>107</v>
      </c>
      <c r="B63" s="90" t="s">
        <v>129</v>
      </c>
      <c r="C63" s="90" t="s">
        <v>87</v>
      </c>
      <c r="D63" s="90" t="s">
        <v>88</v>
      </c>
      <c r="E63" s="90" t="s">
        <v>89</v>
      </c>
      <c r="F63" s="90" t="s">
        <v>90</v>
      </c>
      <c r="G63" s="90" t="s">
        <v>91</v>
      </c>
      <c r="H63" s="90" t="s">
        <v>92</v>
      </c>
      <c r="I63" s="90" t="s">
        <v>93</v>
      </c>
      <c r="J63" s="90" t="s">
        <v>94</v>
      </c>
      <c r="K63" s="90" t="s">
        <v>95</v>
      </c>
      <c r="L63" s="90" t="s">
        <v>96</v>
      </c>
      <c r="M63" s="90" t="s">
        <v>97</v>
      </c>
      <c r="N63" s="90" t="s">
        <v>98</v>
      </c>
      <c r="O63" s="90" t="s">
        <v>99</v>
      </c>
      <c r="P63" s="90" t="s">
        <v>100</v>
      </c>
      <c r="Q63" s="90" t="s">
        <v>101</v>
      </c>
      <c r="R63" s="90" t="s">
        <v>102</v>
      </c>
      <c r="S63" s="90" t="s">
        <v>103</v>
      </c>
      <c r="T63" s="90" t="s">
        <v>104</v>
      </c>
      <c r="U63" s="90" t="s">
        <v>105</v>
      </c>
      <c r="V63" s="91" t="s">
        <v>106</v>
      </c>
    </row>
    <row r="64" spans="1:22" x14ac:dyDescent="0.25">
      <c r="A64" t="s">
        <v>138</v>
      </c>
      <c r="B64">
        <v>0</v>
      </c>
      <c r="C64">
        <f>0.168*(1500)*(1+$B$9)^(Table6[[#Headers],[1]]-1)</f>
        <v>252.00000000000003</v>
      </c>
      <c r="D64">
        <f>0.168*(1500)*(1+$B$9)^(Table6[[#Headers],[2]]-1)</f>
        <v>252.00000000000003</v>
      </c>
      <c r="E64">
        <f>0.168*(1500)*(1+$B$9)^(Table6[[#Headers],[3]]-1)</f>
        <v>252.00000000000003</v>
      </c>
      <c r="F64">
        <f>0.168*(1500)*(1+$B$9)^(Table6[[#Headers],[4]]-1)</f>
        <v>252.00000000000003</v>
      </c>
      <c r="G64">
        <f>0.168*(1500)*(1+$B$9)^(Table6[[#Headers],[5]]-1)</f>
        <v>252.00000000000003</v>
      </c>
      <c r="H64">
        <f>0.168*(1500)*(1+$B$9)^(Table6[[#Headers],[6]]-1)</f>
        <v>252.00000000000003</v>
      </c>
      <c r="I64">
        <f>0.168*(1500)*(1+$B$9)^(Table6[[#Headers],[7]]-1)</f>
        <v>252.00000000000003</v>
      </c>
      <c r="J64">
        <f>0.168*(1500)*(1+$B$9)^(Table6[[#Headers],[8]]-1)</f>
        <v>252.00000000000003</v>
      </c>
      <c r="K64">
        <f>0.168*(1500)*(1+$B$9)^(Table6[[#Headers],[9]]-1)</f>
        <v>252.00000000000003</v>
      </c>
      <c r="L64">
        <f>0.168*(1500)*(1+$B$9)^(Table6[[#Headers],[10]]-1)</f>
        <v>252.00000000000003</v>
      </c>
      <c r="M64">
        <f>0.168*(1500)*(1+$B$9)^(Table6[[#Headers],[11]]-1)</f>
        <v>252.00000000000003</v>
      </c>
      <c r="N64">
        <f>0.168*(1500)*(1+$B$9)^(Table6[[#Headers],[12]]-1)</f>
        <v>252.00000000000003</v>
      </c>
      <c r="O64">
        <f>0.168*(1500)*(1+$B$9)^(Table6[[#Headers],[13]]-1)</f>
        <v>252.00000000000003</v>
      </c>
      <c r="P64">
        <f>0.168*(1500)*(1+$B$9)^(Table6[[#Headers],[14]]-1)</f>
        <v>252.00000000000003</v>
      </c>
      <c r="Q64">
        <f>0.168*(1500)*(1+$B$9)^(Table6[[#Headers],[15]]-1)</f>
        <v>252.00000000000003</v>
      </c>
      <c r="R64">
        <f>0.168*(1500)*(1+$B$9)^(Table6[[#Headers],[16]]-1)</f>
        <v>252.00000000000003</v>
      </c>
      <c r="S64">
        <f>0.168*(1500)*(1+$B$9)^(Table6[[#Headers],[17]]-1)</f>
        <v>252.00000000000003</v>
      </c>
      <c r="T64">
        <f>0.168*(1500)*(1+$B$9)^(Table6[[#Headers],[18]]-1)</f>
        <v>252.00000000000003</v>
      </c>
      <c r="U64">
        <f>0.168*(1500)*(1+$B$9)^(Table6[[#Headers],[19]]-1)</f>
        <v>252.00000000000003</v>
      </c>
      <c r="V64">
        <f>0.168*(1500)*(1+$B$9)^(Table6[[#Headers],[20]]-1)</f>
        <v>252.00000000000003</v>
      </c>
    </row>
    <row r="65" spans="1:22" x14ac:dyDescent="0.25">
      <c r="A65" t="s">
        <v>139</v>
      </c>
      <c r="B65">
        <v>1000</v>
      </c>
      <c r="C65">
        <f>0.168*(840)*(1+$B$9)^(Table6[[#Headers],[1]]-1)</f>
        <v>141.12</v>
      </c>
      <c r="D65">
        <f>0.168*(840)*(1+$B$9)^(Table6[[#Headers],[2]]-1)</f>
        <v>141.12</v>
      </c>
      <c r="E65">
        <f>0.168*(840)*(1+$B$9)^(Table6[[#Headers],[3]]-1)</f>
        <v>141.12</v>
      </c>
      <c r="F65">
        <f>0.168*(840)*(1+$B$9)^(Table6[[#Headers],[4]]-1)</f>
        <v>141.12</v>
      </c>
      <c r="G65">
        <f>0.168*(840)*(1+$B$9)^(Table6[[#Headers],[5]]-1)</f>
        <v>141.12</v>
      </c>
      <c r="H65">
        <f>0.168*(840)*(1+$B$9)^(Table6[[#Headers],[6]]-1)</f>
        <v>141.12</v>
      </c>
      <c r="I65">
        <f>0.168*(840)*(1+$B$9)^(Table6[[#Headers],[7]]-1)</f>
        <v>141.12</v>
      </c>
      <c r="J65">
        <f>0.168*(840)*(1+$B$9)^(Table6[[#Headers],[8]]-1)</f>
        <v>141.12</v>
      </c>
      <c r="K65">
        <f>0.168*(840)*(1+$B$9)^(Table6[[#Headers],[9]]-1)</f>
        <v>141.12</v>
      </c>
      <c r="L65">
        <f>0.168*(840)*(1+$B$9)^(Table6[[#Headers],[10]]-1)</f>
        <v>141.12</v>
      </c>
      <c r="M65">
        <f>0.168*(840)*(1+$B$9)^(Table6[[#Headers],[11]]-1)</f>
        <v>141.12</v>
      </c>
      <c r="N65">
        <f>0.168*(840)*(1+$B$9)^(Table6[[#Headers],[12]]-1)</f>
        <v>141.12</v>
      </c>
      <c r="O65">
        <f>0.168*(840)*(1+$B$9)^(Table6[[#Headers],[13]]-1)</f>
        <v>141.12</v>
      </c>
      <c r="P65">
        <f>0.168*(840)*(1+$B$9)^(Table6[[#Headers],[14]]-1)</f>
        <v>141.12</v>
      </c>
      <c r="Q65">
        <f>0.168*(840)*(1+$B$9)^(Table6[[#Headers],[15]]-1)</f>
        <v>141.12</v>
      </c>
      <c r="R65">
        <f>0.168*(840)*(1+$B$9)^(Table6[[#Headers],[16]]-1)</f>
        <v>141.12</v>
      </c>
      <c r="S65">
        <f>0.168*(840)*(1+$B$9)^(Table6[[#Headers],[17]]-1)</f>
        <v>141.12</v>
      </c>
      <c r="T65">
        <f>0.168*(840)*(1+$B$9)^(Table6[[#Headers],[18]]-1)</f>
        <v>141.12</v>
      </c>
      <c r="U65">
        <f>0.168*(840)*(1+$B$9)^(Table6[[#Headers],[19]]-1)</f>
        <v>141.12</v>
      </c>
      <c r="V65">
        <f>0.168*(840)*(1+$B$9)^(Table6[[#Headers],[20]]-1)</f>
        <v>141.12</v>
      </c>
    </row>
    <row r="69" spans="1:22" ht="15.75" thickBot="1" x14ac:dyDescent="0.3"/>
    <row r="70" spans="1:22" ht="16.5" thickTop="1" thickBot="1" x14ac:dyDescent="0.3">
      <c r="A70" s="71" t="s">
        <v>145</v>
      </c>
    </row>
    <row r="71" spans="1:22" ht="15.75" thickTop="1" x14ac:dyDescent="0.25">
      <c r="A71" s="101" t="s">
        <v>107</v>
      </c>
      <c r="B71" s="101" t="s">
        <v>129</v>
      </c>
      <c r="C71" s="101" t="s">
        <v>87</v>
      </c>
      <c r="D71" s="101" t="s">
        <v>88</v>
      </c>
      <c r="E71" s="101" t="s">
        <v>89</v>
      </c>
      <c r="F71" s="101" t="s">
        <v>90</v>
      </c>
      <c r="G71" s="101" t="s">
        <v>91</v>
      </c>
      <c r="H71" s="101" t="s">
        <v>92</v>
      </c>
      <c r="I71" s="101" t="s">
        <v>93</v>
      </c>
      <c r="J71" s="101" t="s">
        <v>94</v>
      </c>
      <c r="K71" s="101" t="s">
        <v>95</v>
      </c>
      <c r="L71" s="101" t="s">
        <v>96</v>
      </c>
      <c r="M71" s="101" t="s">
        <v>97</v>
      </c>
      <c r="N71" s="101" t="s">
        <v>98</v>
      </c>
      <c r="O71" s="101" t="s">
        <v>99</v>
      </c>
      <c r="P71" s="101" t="s">
        <v>100</v>
      </c>
      <c r="Q71" s="101" t="s">
        <v>101</v>
      </c>
      <c r="R71" s="101" t="s">
        <v>102</v>
      </c>
      <c r="S71" s="101" t="s">
        <v>103</v>
      </c>
      <c r="T71" s="101" t="s">
        <v>104</v>
      </c>
      <c r="U71" s="101" t="s">
        <v>105</v>
      </c>
      <c r="V71" s="102" t="s">
        <v>106</v>
      </c>
    </row>
    <row r="72" spans="1:22" x14ac:dyDescent="0.25">
      <c r="A72" s="100" t="s">
        <v>138</v>
      </c>
      <c r="B72">
        <v>0</v>
      </c>
      <c r="C72">
        <v>249.71455847255373</v>
      </c>
      <c r="D72">
        <v>252.39884098176705</v>
      </c>
      <c r="E72">
        <v>255.11197792635386</v>
      </c>
      <c r="F72">
        <v>257.85427947427814</v>
      </c>
      <c r="G72">
        <v>260.62605912762456</v>
      </c>
      <c r="H72">
        <v>263.42763375843805</v>
      </c>
      <c r="I72">
        <v>266.25932364494878</v>
      </c>
      <c r="J72">
        <v>269.12145250818702</v>
      </c>
      <c r="K72">
        <v>272.01434754899105</v>
      </c>
      <c r="L72">
        <v>274.93833948541265</v>
      </c>
      <c r="M72">
        <v>277.89376259052557</v>
      </c>
      <c r="N72">
        <v>280.88095473063936</v>
      </c>
      <c r="O72">
        <v>283.90025740392531</v>
      </c>
      <c r="P72">
        <v>286.95201577945585</v>
      </c>
      <c r="Q72">
        <v>290.03657873666509</v>
      </c>
      <c r="R72">
        <v>293.15429890523291</v>
      </c>
      <c r="S72">
        <v>296.30553270539798</v>
      </c>
      <c r="T72">
        <v>299.49064038870381</v>
      </c>
      <c r="U72">
        <v>302.70998607918278</v>
      </c>
      <c r="V72">
        <v>305.96393781498381</v>
      </c>
    </row>
    <row r="73" spans="1:22" x14ac:dyDescent="0.25">
      <c r="A73" s="97" t="s">
        <v>139</v>
      </c>
      <c r="B73">
        <v>1000</v>
      </c>
      <c r="C73">
        <v>139.84015274463007</v>
      </c>
      <c r="D73">
        <v>141.34335094978954</v>
      </c>
      <c r="E73">
        <v>142.86270763875814</v>
      </c>
      <c r="F73">
        <v>144.39839650559577</v>
      </c>
      <c r="G73">
        <v>145.95059311146974</v>
      </c>
      <c r="H73">
        <v>147.51947490472529</v>
      </c>
      <c r="I73">
        <v>149.10522124117131</v>
      </c>
      <c r="J73">
        <v>150.70801340458473</v>
      </c>
      <c r="K73">
        <v>152.32803462743496</v>
      </c>
      <c r="L73">
        <v>153.96547011183108</v>
      </c>
      <c r="M73">
        <v>155.62050705069427</v>
      </c>
      <c r="N73">
        <v>157.29333464915806</v>
      </c>
      <c r="O73">
        <v>158.98414414619816</v>
      </c>
      <c r="P73">
        <v>160.69312883649525</v>
      </c>
      <c r="Q73">
        <v>162.42048409253243</v>
      </c>
      <c r="R73">
        <v>164.16640738693042</v>
      </c>
      <c r="S73">
        <v>165.93109831502287</v>
      </c>
      <c r="T73">
        <v>167.71475861767414</v>
      </c>
      <c r="U73">
        <v>169.51759220434238</v>
      </c>
      <c r="V73">
        <v>171.33980517639091</v>
      </c>
    </row>
    <row r="77" spans="1:22" ht="15.75" thickBot="1" x14ac:dyDescent="0.3"/>
    <row r="78" spans="1:22" ht="16.5" thickTop="1" thickBot="1" x14ac:dyDescent="0.3">
      <c r="A78" s="71" t="s">
        <v>147</v>
      </c>
    </row>
    <row r="79" spans="1:22" ht="15.75" thickTop="1" x14ac:dyDescent="0.25">
      <c r="A79" s="101" t="s">
        <v>107</v>
      </c>
      <c r="B79" s="101" t="s">
        <v>129</v>
      </c>
      <c r="C79" s="101" t="s">
        <v>87</v>
      </c>
      <c r="D79" s="101" t="s">
        <v>88</v>
      </c>
      <c r="E79" s="101" t="s">
        <v>89</v>
      </c>
      <c r="F79" s="101" t="s">
        <v>90</v>
      </c>
      <c r="G79" s="101" t="s">
        <v>91</v>
      </c>
      <c r="H79" s="101" t="s">
        <v>92</v>
      </c>
      <c r="I79" s="101" t="s">
        <v>93</v>
      </c>
      <c r="J79" s="101" t="s">
        <v>94</v>
      </c>
      <c r="K79" s="101" t="s">
        <v>95</v>
      </c>
      <c r="L79" s="101" t="s">
        <v>96</v>
      </c>
      <c r="M79" s="101" t="s">
        <v>97</v>
      </c>
      <c r="N79" s="101" t="s">
        <v>98</v>
      </c>
      <c r="O79" s="101" t="s">
        <v>99</v>
      </c>
      <c r="P79" s="101" t="s">
        <v>100</v>
      </c>
      <c r="Q79" s="101" t="s">
        <v>101</v>
      </c>
      <c r="R79" s="101" t="s">
        <v>102</v>
      </c>
      <c r="S79" s="101" t="s">
        <v>103</v>
      </c>
      <c r="T79" s="101" t="s">
        <v>104</v>
      </c>
      <c r="U79" s="101" t="s">
        <v>105</v>
      </c>
      <c r="V79" s="102" t="s">
        <v>106</v>
      </c>
    </row>
    <row r="80" spans="1:22" x14ac:dyDescent="0.25">
      <c r="A80" s="100" t="s">
        <v>138</v>
      </c>
      <c r="B80">
        <v>0</v>
      </c>
      <c r="C80">
        <v>1486.3961813842482</v>
      </c>
      <c r="D80">
        <v>1472.9157386891166</v>
      </c>
      <c r="E80">
        <v>1459.5575529921746</v>
      </c>
      <c r="F80">
        <v>1446.3205155187372</v>
      </c>
      <c r="G80">
        <v>1433.203527549832</v>
      </c>
      <c r="H80">
        <v>1420.2055003310031</v>
      </c>
      <c r="I80">
        <v>1407.325354981939</v>
      </c>
      <c r="J80">
        <v>1394.5620224069239</v>
      </c>
      <c r="K80">
        <v>1381.9144432060975</v>
      </c>
      <c r="L80">
        <v>1369.3815675875217</v>
      </c>
      <c r="M80">
        <v>1356.9623552800454</v>
      </c>
      <c r="N80">
        <v>1344.6557754469568</v>
      </c>
      <c r="O80">
        <v>1332.4608066004209</v>
      </c>
      <c r="P80">
        <v>1320.376436516694</v>
      </c>
      <c r="Q80">
        <v>1308.4016621521034</v>
      </c>
      <c r="R80">
        <v>1296.5354895597932</v>
      </c>
      <c r="S80">
        <v>1284.7769338072221</v>
      </c>
      <c r="T80">
        <v>1273.1250188944123</v>
      </c>
      <c r="U80">
        <v>1261.5787776729353</v>
      </c>
      <c r="V80">
        <v>1250.1372517656389</v>
      </c>
    </row>
    <row r="81" spans="1:22" x14ac:dyDescent="0.25">
      <c r="A81" s="97" t="s">
        <v>139</v>
      </c>
      <c r="B81">
        <v>0</v>
      </c>
      <c r="C81">
        <v>1664.7637231503579</v>
      </c>
      <c r="D81">
        <v>1649.6656273318106</v>
      </c>
      <c r="E81">
        <v>1634.7044593512355</v>
      </c>
      <c r="F81">
        <v>1619.8789773809856</v>
      </c>
      <c r="G81">
        <v>1605.1879508558118</v>
      </c>
      <c r="H81">
        <v>1590.6301603707236</v>
      </c>
      <c r="I81">
        <v>1576.2043975797717</v>
      </c>
      <c r="J81">
        <v>1561.9094650957547</v>
      </c>
      <c r="K81">
        <v>1547.7441763908291</v>
      </c>
      <c r="L81">
        <v>1533.7073556980245</v>
      </c>
      <c r="M81">
        <v>1519.7978379136507</v>
      </c>
      <c r="N81">
        <v>1506.0144685005914</v>
      </c>
      <c r="O81">
        <v>1492.3561033924714</v>
      </c>
      <c r="P81">
        <v>1478.8216088986971</v>
      </c>
      <c r="Q81">
        <v>1465.4098616103558</v>
      </c>
      <c r="R81">
        <v>1452.1197483069684</v>
      </c>
      <c r="S81">
        <v>1438.9501658640888</v>
      </c>
      <c r="T81">
        <v>1425.9000211617417</v>
      </c>
      <c r="U81">
        <v>1412.9682309936877</v>
      </c>
      <c r="V81">
        <v>1400.1537219775155</v>
      </c>
    </row>
  </sheetData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Design</vt:lpstr>
      <vt:lpstr>Load Data</vt:lpstr>
      <vt:lpstr>Economic Analysis</vt:lpstr>
      <vt:lpstr>to post</vt:lpstr>
    </vt:vector>
  </TitlesOfParts>
  <Company>HCT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c</cp:lastModifiedBy>
  <dcterms:created xsi:type="dcterms:W3CDTF">2015-02-23T04:41:35Z</dcterms:created>
  <dcterms:modified xsi:type="dcterms:W3CDTF">2023-04-09T13:03:09Z</dcterms:modified>
</cp:coreProperties>
</file>