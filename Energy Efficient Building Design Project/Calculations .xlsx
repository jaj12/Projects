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\Dropbox\673 proj\"/>
    </mc:Choice>
  </mc:AlternateContent>
  <bookViews>
    <workbookView xWindow="-105" yWindow="-105" windowWidth="19425" windowHeight="10425"/>
  </bookViews>
  <sheets>
    <sheet name="2" sheetId="2" r:id="rId1"/>
    <sheet name="1" sheetId="1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8" i="2" l="1"/>
  <c r="N49" i="2"/>
  <c r="M49" i="2" l="1"/>
  <c r="V49" i="2"/>
  <c r="M50" i="2"/>
  <c r="V50" i="2"/>
  <c r="M51" i="2"/>
  <c r="V51" i="2"/>
  <c r="M52" i="2"/>
  <c r="V52" i="2"/>
  <c r="M53" i="2"/>
  <c r="V53" i="2"/>
  <c r="V48" i="2"/>
  <c r="M48" i="2"/>
  <c r="E9" i="1"/>
  <c r="M115" i="2" l="1"/>
  <c r="N115" i="2" s="1"/>
  <c r="M44" i="2" l="1"/>
  <c r="G5" i="2"/>
  <c r="D15" i="1"/>
  <c r="E15" i="1"/>
  <c r="F15" i="1"/>
  <c r="G15" i="1"/>
  <c r="H15" i="1"/>
  <c r="I15" i="1"/>
  <c r="J15" i="1"/>
  <c r="K15" i="1"/>
  <c r="L15" i="1"/>
  <c r="M15" i="1"/>
  <c r="N15" i="1"/>
  <c r="C15" i="1"/>
  <c r="D10" i="1"/>
  <c r="E10" i="1"/>
  <c r="F10" i="1"/>
  <c r="G10" i="1"/>
  <c r="H10" i="1"/>
  <c r="I10" i="1"/>
  <c r="J10" i="1"/>
  <c r="K10" i="1"/>
  <c r="L10" i="1"/>
  <c r="M10" i="1"/>
  <c r="N10" i="1"/>
  <c r="C10" i="1"/>
  <c r="D14" i="1"/>
  <c r="E14" i="1"/>
  <c r="F14" i="1"/>
  <c r="G14" i="1"/>
  <c r="H14" i="1"/>
  <c r="I14" i="1"/>
  <c r="J14" i="1"/>
  <c r="K14" i="1"/>
  <c r="L14" i="1"/>
  <c r="M14" i="1"/>
  <c r="N14" i="1"/>
  <c r="C14" i="1"/>
  <c r="D9" i="1"/>
  <c r="F9" i="1"/>
  <c r="G9" i="1"/>
  <c r="H9" i="1"/>
  <c r="I9" i="1"/>
  <c r="J9" i="1"/>
  <c r="K9" i="1"/>
  <c r="L9" i="1"/>
  <c r="M9" i="1"/>
  <c r="N9" i="1"/>
  <c r="C9" i="1"/>
  <c r="F11" i="1" l="1"/>
  <c r="D11" i="1"/>
  <c r="G16" i="1"/>
  <c r="L11" i="1"/>
  <c r="C16" i="1"/>
  <c r="J11" i="1"/>
  <c r="N16" i="1"/>
  <c r="F16" i="1"/>
  <c r="K11" i="1"/>
  <c r="I11" i="1"/>
  <c r="M16" i="1"/>
  <c r="E16" i="1"/>
  <c r="H11" i="1"/>
  <c r="L16" i="1"/>
  <c r="D16" i="1"/>
  <c r="C11" i="1"/>
  <c r="G11" i="1"/>
  <c r="K16" i="1"/>
  <c r="J16" i="1"/>
  <c r="N11" i="1"/>
  <c r="K18" i="1" s="1"/>
  <c r="G6" i="2" s="1"/>
  <c r="D24" i="2" s="1"/>
  <c r="M11" i="1"/>
  <c r="E11" i="1"/>
  <c r="I16" i="1"/>
  <c r="H16" i="1"/>
  <c r="D26" i="2" l="1"/>
  <c r="G52" i="2"/>
  <c r="C51" i="2"/>
  <c r="K51" i="2" s="1"/>
  <c r="C37" i="2"/>
  <c r="I27" i="2"/>
  <c r="E41" i="2" s="1"/>
  <c r="F41" i="2" s="1"/>
  <c r="N53" i="2" s="1"/>
  <c r="C50" i="2"/>
  <c r="K50" i="2" s="1"/>
  <c r="H23" i="2"/>
  <c r="H52" i="2"/>
  <c r="I50" i="2"/>
  <c r="U50" i="2" s="1"/>
  <c r="C36" i="2"/>
  <c r="G49" i="2"/>
  <c r="G53" i="2"/>
  <c r="I52" i="2"/>
  <c r="U52" i="2" s="1"/>
  <c r="C49" i="2"/>
  <c r="K49" i="2" s="1"/>
  <c r="H24" i="2"/>
  <c r="H49" i="2"/>
  <c r="H53" i="2"/>
  <c r="H25" i="2"/>
  <c r="C40" i="2"/>
  <c r="I24" i="2"/>
  <c r="C52" i="2"/>
  <c r="K52" i="2" s="1"/>
  <c r="C48" i="2"/>
  <c r="K48" i="2" s="1"/>
  <c r="H26" i="2"/>
  <c r="H27" i="2"/>
  <c r="G50" i="2"/>
  <c r="I49" i="2"/>
  <c r="U49" i="2" s="1"/>
  <c r="C41" i="2"/>
  <c r="I23" i="2"/>
  <c r="E37" i="2" s="1"/>
  <c r="F37" i="2" s="1"/>
  <c r="C39" i="2"/>
  <c r="H51" i="2"/>
  <c r="H50" i="2"/>
  <c r="I48" i="2"/>
  <c r="U48" i="2" s="1"/>
  <c r="I25" i="2"/>
  <c r="E39" i="2" s="1"/>
  <c r="F39" i="2" s="1"/>
  <c r="N51" i="2" s="1"/>
  <c r="P51" i="2" s="1"/>
  <c r="I51" i="2"/>
  <c r="U51" i="2" s="1"/>
  <c r="I26" i="2"/>
  <c r="E40" i="2" s="1"/>
  <c r="F40" i="2" s="1"/>
  <c r="N52" i="2" s="1"/>
  <c r="P52" i="2" s="1"/>
  <c r="G51" i="2"/>
  <c r="I53" i="2"/>
  <c r="U53" i="2" s="1"/>
  <c r="C53" i="2"/>
  <c r="K53" i="2" s="1"/>
  <c r="D27" i="2"/>
  <c r="C38" i="2"/>
  <c r="D25" i="2"/>
  <c r="H22" i="2"/>
  <c r="G115" i="2"/>
  <c r="I115" i="2"/>
  <c r="J115" i="2" s="1"/>
  <c r="C115" i="2"/>
  <c r="H115" i="2"/>
  <c r="G108" i="2"/>
  <c r="G48" i="2"/>
  <c r="C108" i="2"/>
  <c r="H48" i="2"/>
  <c r="D22" i="2"/>
  <c r="H108" i="2"/>
  <c r="D23" i="2"/>
  <c r="I22" i="2"/>
  <c r="E36" i="2" s="1"/>
  <c r="F36" i="2" s="1"/>
  <c r="N48" i="2" s="1"/>
  <c r="P48" i="2" s="1"/>
  <c r="T115" i="2"/>
  <c r="S50" i="2" l="1"/>
  <c r="S51" i="2"/>
  <c r="S53" i="2"/>
  <c r="S49" i="2"/>
  <c r="S52" i="2"/>
  <c r="J51" i="2"/>
  <c r="W51" i="2"/>
  <c r="J49" i="2"/>
  <c r="W49" i="2"/>
  <c r="P49" i="2"/>
  <c r="J50" i="2"/>
  <c r="W50" i="2"/>
  <c r="J48" i="2"/>
  <c r="W48" i="2"/>
  <c r="J53" i="2"/>
  <c r="W53" i="2"/>
  <c r="L52" i="2"/>
  <c r="Q52" i="2" s="1"/>
  <c r="J52" i="2"/>
  <c r="W52" i="2"/>
  <c r="L53" i="2"/>
  <c r="Q53" i="2" s="1"/>
  <c r="L48" i="2"/>
  <c r="Q48" i="2" s="1"/>
  <c r="L49" i="2"/>
  <c r="Q49" i="2" s="1"/>
  <c r="L50" i="2"/>
  <c r="P53" i="2"/>
  <c r="L51" i="2"/>
  <c r="Q51" i="2"/>
  <c r="L115" i="2"/>
  <c r="P115" i="2"/>
  <c r="Q115" i="2"/>
  <c r="G11" i="2"/>
  <c r="E38" i="2"/>
  <c r="F38" i="2" s="1"/>
  <c r="N50" i="2" s="1"/>
  <c r="P50" i="2" s="1"/>
  <c r="R53" i="2" l="1"/>
  <c r="T53" i="2" s="1"/>
  <c r="X53" i="2" s="1"/>
  <c r="R48" i="2"/>
  <c r="T48" i="2"/>
  <c r="X48" i="2" s="1"/>
  <c r="R49" i="2"/>
  <c r="T49" i="2" s="1"/>
  <c r="X49" i="2" s="1"/>
  <c r="R52" i="2"/>
  <c r="T52" i="2" s="1"/>
  <c r="X52" i="2" s="1"/>
  <c r="R51" i="2"/>
  <c r="T51" i="2" s="1"/>
  <c r="X51" i="2" s="1"/>
  <c r="Q50" i="2"/>
  <c r="R50" i="2" s="1"/>
  <c r="T50" i="2" l="1"/>
  <c r="X50" i="2" s="1"/>
</calcChain>
</file>

<file path=xl/comments1.xml><?xml version="1.0" encoding="utf-8"?>
<comments xmlns="http://schemas.openxmlformats.org/spreadsheetml/2006/main">
  <authors>
    <author>Elvire Katramiz (Student)</author>
  </authors>
  <commentList>
    <comment ref="U47" authorId="0" shapeId="0">
      <text>
        <r>
          <rPr>
            <b/>
            <sz val="9"/>
            <color indexed="81"/>
            <rFont val="Tahoma"/>
            <charset val="1"/>
          </rPr>
          <t>Elvire Katramiz (Student):</t>
        </r>
        <r>
          <rPr>
            <sz val="9"/>
            <color indexed="81"/>
            <rFont val="Tahoma"/>
            <charset val="1"/>
          </rPr>
          <t xml:space="preserve">
here we consider T out 18</t>
        </r>
      </text>
    </comment>
    <comment ref="AB47" authorId="0" shapeId="0">
      <text>
        <r>
          <rPr>
            <b/>
            <sz val="9"/>
            <color indexed="81"/>
            <rFont val="Tahoma"/>
            <charset val="1"/>
          </rPr>
          <t>Elvire Katramiz (Student):</t>
        </r>
        <r>
          <rPr>
            <sz val="9"/>
            <color indexed="81"/>
            <rFont val="Tahoma"/>
            <charset val="1"/>
          </rPr>
          <t xml:space="preserve">
here we consider T out 18</t>
        </r>
      </text>
    </comment>
  </commentList>
</comments>
</file>

<file path=xl/sharedStrings.xml><?xml version="1.0" encoding="utf-8"?>
<sst xmlns="http://schemas.openxmlformats.org/spreadsheetml/2006/main" count="134" uniqueCount="84">
  <si>
    <t>Energy Conservation Assignment</t>
  </si>
  <si>
    <t>1- Find the peak total sensible load per floor area (W/m2) due to equipment and at peak occupancy.</t>
  </si>
  <si>
    <t>Hour</t>
  </si>
  <si>
    <t>Number of people</t>
  </si>
  <si>
    <t>area of room (m2)</t>
  </si>
  <si>
    <t>height of room (m)</t>
  </si>
  <si>
    <t>load due to people ( w/m2)</t>
  </si>
  <si>
    <t>load due to equipment and lighting (w/m2)</t>
  </si>
  <si>
    <t>load per person (w)</t>
  </si>
  <si>
    <t>load due to equipment and lighting (w)</t>
  </si>
  <si>
    <t>total laod ( w/m2)</t>
  </si>
  <si>
    <t>based on the calculation above, the peak total sensible load per floor area (W/m2) due to equipment and at peak occupancy is occuring at 12 pm and 1 pm and it is equal to :</t>
  </si>
  <si>
    <t xml:space="preserve"> supply air temperature (°C)</t>
  </si>
  <si>
    <t xml:space="preserve">Tc </t>
  </si>
  <si>
    <t>chilled ceiling temperature (°C)</t>
  </si>
  <si>
    <t>Ts</t>
  </si>
  <si>
    <t>load removal ratio</t>
  </si>
  <si>
    <t>stratification height (m)</t>
  </si>
  <si>
    <t xml:space="preserve"> temperature gradient (°C/m)</t>
  </si>
  <si>
    <t>P</t>
  </si>
  <si>
    <t>peak sensible load (w/m2)</t>
  </si>
  <si>
    <t>Qs</t>
  </si>
  <si>
    <t>H</t>
  </si>
  <si>
    <t>Using the design chart of CC/DV system based on the calculated peak sensible load per floor area  ( 80-90 w/m2) and different values of P (flow rate parameter) below, we find the different parameters (chilled ceiling temperature (°C), supply air temperature (°C), load removal ratio, stratification height (m) and temperature gradient (°C/m)).</t>
  </si>
  <si>
    <t>ratio of cooling load to supply mass flow rate P=Qs/m˙s ( kJ/kg)</t>
  </si>
  <si>
    <t>R</t>
  </si>
  <si>
    <t>dT/dZ</t>
  </si>
  <si>
    <t>room area</t>
  </si>
  <si>
    <t>A</t>
  </si>
  <si>
    <t>The following equations are used to assess if the proposed system satisfies thermal comfort and indoor air quality requirements.</t>
  </si>
  <si>
    <t>After satisfying the requirements of comfort ( H&gt; 1m) and indoor air quality (dT/dZ&lt;2.5 oC/m), the energy consumption of the DV and CC system can be found by doing the following:</t>
  </si>
  <si>
    <t>a. Finding the exhaust air temperature Tr (°C) as follows:</t>
  </si>
  <si>
    <t>Tr</t>
  </si>
  <si>
    <t>b- Finding the amount of reheat used from the following energy balance:</t>
  </si>
  <si>
    <t>Qcc</t>
  </si>
  <si>
    <t>Qsdv</t>
  </si>
  <si>
    <t>Qrh</t>
  </si>
  <si>
    <t>c- Finding the new humidity ratio due to the water vapor generated from occupants (Wv (kg water/kg dry air)).</t>
  </si>
  <si>
    <t>Np at peak load is 12</t>
  </si>
  <si>
    <t xml:space="preserve">wp= </t>
  </si>
  <si>
    <t>Wv</t>
  </si>
  <si>
    <t>d- Finding the maximum allowable humidity ratio of air near the ceiling to avoid condensation at the dew point temperature (WR (kg water/kg dry air)).</t>
  </si>
  <si>
    <t>Tdp,min</t>
  </si>
  <si>
    <t>HR (wa, max)</t>
  </si>
  <si>
    <t>e- Finding the maximum allowed supply air humidity ratio (WS (kg water/kg dry air)) based on the new humidity ratio, maximum allowable humidity ratio of air near the ceiling and the supply one.</t>
  </si>
  <si>
    <t>Ws. Max</t>
  </si>
  <si>
    <t>the peak total sensible load per floor area (W/m2)</t>
  </si>
  <si>
    <t>f- Using the balance for water, the mass of water condensate can be determined:</t>
  </si>
  <si>
    <t>m cond</t>
  </si>
  <si>
    <t>g- Finding the cooling coil load from the overall energy balance of the DV system:</t>
  </si>
  <si>
    <t>Qc</t>
  </si>
  <si>
    <t>h- Finding the fan power using the following equation:</t>
  </si>
  <si>
    <t>i. Finding the DV total energy as converted to electrical equivalent as follows:</t>
  </si>
  <si>
    <t>E(w)</t>
  </si>
  <si>
    <t>j- Finding the pump mass flow rate (kg/s) from the equation of chilled ceiling heat removal (Qcc in W):</t>
  </si>
  <si>
    <t>Tw,in</t>
  </si>
  <si>
    <t>Tw,out</t>
  </si>
  <si>
    <t>mw</t>
  </si>
  <si>
    <t>qcc/(cpw*(Twout-Twin))</t>
  </si>
  <si>
    <t>k- Finding the temperature of water exiting the chilled ceiling (Tw,out in °C) from the following equation:</t>
  </si>
  <si>
    <t>Twout</t>
  </si>
  <si>
    <t>l- Finding the input power of the pump Ppump (in W) as follows:</t>
  </si>
  <si>
    <t>Where Hp is the pump head and is equivalent to 4 m, and ηp is the pump efficiency and is</t>
  </si>
  <si>
    <t>equal to 0.8.</t>
  </si>
  <si>
    <t>Ppump</t>
  </si>
  <si>
    <t>fan power P (W)</t>
  </si>
  <si>
    <t>from the calculated figures in the table above, I would select the following three feasible R and P:</t>
  </si>
  <si>
    <t>note that all the three selections satisfy the thermal comfort and stratification height constraints. Out of the three selections, I will select the first one for P = 8 and R = 0.5 as the last has the minimum energy consumption.</t>
  </si>
  <si>
    <t xml:space="preserve"> Tw_out</t>
  </si>
  <si>
    <t>mdot</t>
  </si>
  <si>
    <t>E DV</t>
  </si>
  <si>
    <t>E total</t>
  </si>
  <si>
    <t>Design</t>
  </si>
  <si>
    <t>Tdp</t>
  </si>
  <si>
    <t>Design 3</t>
  </si>
  <si>
    <t>Design 4</t>
  </si>
  <si>
    <t>Design 5</t>
  </si>
  <si>
    <t>Design 6</t>
  </si>
  <si>
    <t>RH</t>
  </si>
  <si>
    <t>Etot</t>
  </si>
  <si>
    <t>Designs</t>
  </si>
  <si>
    <t>Tr (degrees Celsius)</t>
  </si>
  <si>
    <t>Specific Humidity (HR) (Kg of H2O/Kg of air</t>
  </si>
  <si>
    <t>Relative 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</si>
</sst>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.5"/>
      <color rgb="FF2A2A2A"/>
      <name val="Segoe UI Semibold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3333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rgb="FFFFCC99"/>
      </patternFill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8" fillId="15" borderId="0" applyNumberFormat="0" applyBorder="0" applyAlignment="0" applyProtection="0"/>
    <xf numFmtId="0" fontId="9" fillId="17" borderId="11" applyNumberFormat="0" applyAlignment="0" applyProtection="0"/>
    <xf numFmtId="0" fontId="8" fillId="18" borderId="0" applyNumberFormat="0" applyBorder="0" applyAlignment="0" applyProtection="0"/>
  </cellStyleXfs>
  <cellXfs count="83">
    <xf numFmtId="0" fontId="0" fillId="0" borderId="0" xfId="0"/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0" fontId="2" fillId="0" borderId="0" xfId="0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6" borderId="0" xfId="0" applyFill="1"/>
    <xf numFmtId="0" fontId="2" fillId="6" borderId="1" xfId="0" applyFont="1" applyFill="1" applyBorder="1" applyAlignment="1">
      <alignment horizontal="center" vertical="center" wrapText="1"/>
    </xf>
    <xf numFmtId="0" fontId="0" fillId="7" borderId="0" xfId="0" applyFill="1"/>
    <xf numFmtId="0" fontId="2" fillId="7" borderId="1" xfId="0" applyFont="1" applyFill="1" applyBorder="1" applyAlignment="1">
      <alignment horizontal="center" vertical="center"/>
    </xf>
    <xf numFmtId="0" fontId="0" fillId="8" borderId="0" xfId="0" applyFill="1"/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1" borderId="0" xfId="0" applyFill="1"/>
    <xf numFmtId="0" fontId="0" fillId="12" borderId="0" xfId="0" applyFill="1"/>
    <xf numFmtId="0" fontId="2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0" xfId="0" applyFill="1"/>
    <xf numFmtId="0" fontId="0" fillId="10" borderId="0" xfId="0" applyFill="1"/>
    <xf numFmtId="164" fontId="0" fillId="0" borderId="1" xfId="1" applyFont="1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0" fillId="14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16" borderId="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8" fillId="15" borderId="0" xfId="2"/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10" borderId="0" xfId="0" applyFill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0" fontId="0" fillId="9" borderId="0" xfId="0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9" fillId="17" borderId="11" xfId="3"/>
    <xf numFmtId="0" fontId="8" fillId="18" borderId="1" xfId="4" applyBorder="1" applyAlignment="1">
      <alignment horizontal="center"/>
    </xf>
    <xf numFmtId="9" fontId="0" fillId="0" borderId="0" xfId="0" applyNumberFormat="1"/>
  </cellXfs>
  <cellStyles count="5">
    <cellStyle name="Accent1" xfId="4" builtinId="29"/>
    <cellStyle name="Accent5" xfId="2" builtinId="45"/>
    <cellStyle name="Comma" xfId="1" builtinId="3"/>
    <cellStyle name="Input" xfId="3" builtinId="20"/>
    <cellStyle name="Normal" xfId="0" builtinId="0"/>
  </cellStyles>
  <dxfs count="54">
    <dxf>
      <numFmt numFmtId="13" formatCode="0%"/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_(* #,##0.00_);_(* \(#,##0.00\);_(* &quot;-&quot;??_);_(@_)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.00_);_(* \(#,##0.00\);_(* &quot;-&quot;??_);_(@_)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273050</xdr:colOff>
      <xdr:row>4</xdr:row>
      <xdr:rowOff>64558</xdr:rowOff>
    </xdr:from>
    <xdr:to>
      <xdr:col>18</xdr:col>
      <xdr:colOff>426192</xdr:colOff>
      <xdr:row>24</xdr:row>
      <xdr:rowOff>26458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3467" y="826558"/>
          <a:ext cx="7113058" cy="4734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14</xdr:row>
      <xdr:rowOff>131714</xdr:rowOff>
    </xdr:from>
    <xdr:to>
      <xdr:col>5</xdr:col>
      <xdr:colOff>287867</xdr:colOff>
      <xdr:row>15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036839"/>
          <a:ext cx="3181350" cy="325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151064</xdr:colOff>
      <xdr:row>15</xdr:row>
      <xdr:rowOff>182742</xdr:rowOff>
    </xdr:from>
    <xdr:to>
      <xdr:col>7</xdr:col>
      <xdr:colOff>427289</xdr:colOff>
      <xdr:row>17</xdr:row>
      <xdr:rowOff>20441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6041" y="3877018"/>
          <a:ext cx="276225" cy="21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154707</xdr:rowOff>
    </xdr:from>
    <xdr:to>
      <xdr:col>6</xdr:col>
      <xdr:colOff>249766</xdr:colOff>
      <xdr:row>18</xdr:row>
      <xdr:rowOff>9524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1332"/>
          <a:ext cx="3848100" cy="235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18</xdr:row>
      <xdr:rowOff>49162</xdr:rowOff>
    </xdr:from>
    <xdr:to>
      <xdr:col>5</xdr:col>
      <xdr:colOff>596900</xdr:colOff>
      <xdr:row>19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3906787"/>
          <a:ext cx="3552825" cy="293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33</xdr:row>
      <xdr:rowOff>76201</xdr:rowOff>
    </xdr:from>
    <xdr:to>
      <xdr:col>6</xdr:col>
      <xdr:colOff>306916</xdr:colOff>
      <xdr:row>33</xdr:row>
      <xdr:rowOff>351499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200901"/>
          <a:ext cx="3895725" cy="275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66676</xdr:colOff>
      <xdr:row>43</xdr:row>
      <xdr:rowOff>76201</xdr:rowOff>
    </xdr:from>
    <xdr:to>
      <xdr:col>11</xdr:col>
      <xdr:colOff>466725</xdr:colOff>
      <xdr:row>43</xdr:row>
      <xdr:rowOff>373487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6" y="9324976"/>
          <a:ext cx="1009650" cy="297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44</xdr:row>
      <xdr:rowOff>38100</xdr:rowOff>
    </xdr:from>
    <xdr:to>
      <xdr:col>11</xdr:col>
      <xdr:colOff>186795</xdr:colOff>
      <xdr:row>45</xdr:row>
      <xdr:rowOff>94449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9820275"/>
          <a:ext cx="3095625" cy="246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180975</xdr:colOff>
      <xdr:row>55</xdr:row>
      <xdr:rowOff>85726</xdr:rowOff>
    </xdr:from>
    <xdr:to>
      <xdr:col>3</xdr:col>
      <xdr:colOff>209549</xdr:colOff>
      <xdr:row>55</xdr:row>
      <xdr:rowOff>339902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963401"/>
          <a:ext cx="1247775" cy="254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59</xdr:row>
      <xdr:rowOff>85725</xdr:rowOff>
    </xdr:from>
    <xdr:to>
      <xdr:col>6</xdr:col>
      <xdr:colOff>268816</xdr:colOff>
      <xdr:row>60</xdr:row>
      <xdr:rowOff>176999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3115925"/>
          <a:ext cx="3857625" cy="281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597494</xdr:colOff>
      <xdr:row>59</xdr:row>
      <xdr:rowOff>72461</xdr:rowOff>
    </xdr:from>
    <xdr:to>
      <xdr:col>12</xdr:col>
      <xdr:colOff>340888</xdr:colOff>
      <xdr:row>60</xdr:row>
      <xdr:rowOff>156505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471" y="13505382"/>
          <a:ext cx="2783258" cy="270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85726</xdr:colOff>
      <xdr:row>64</xdr:row>
      <xdr:rowOff>19051</xdr:rowOff>
    </xdr:from>
    <xdr:to>
      <xdr:col>4</xdr:col>
      <xdr:colOff>418043</xdr:colOff>
      <xdr:row>65</xdr:row>
      <xdr:rowOff>92636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14239876"/>
          <a:ext cx="2705100" cy="264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133350</xdr:colOff>
      <xdr:row>67</xdr:row>
      <xdr:rowOff>76200</xdr:rowOff>
    </xdr:from>
    <xdr:to>
      <xdr:col>5</xdr:col>
      <xdr:colOff>278342</xdr:colOff>
      <xdr:row>67</xdr:row>
      <xdr:rowOff>479293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4868525"/>
          <a:ext cx="3133725" cy="403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68</xdr:row>
      <xdr:rowOff>47625</xdr:rowOff>
    </xdr:from>
    <xdr:to>
      <xdr:col>5</xdr:col>
      <xdr:colOff>221192</xdr:colOff>
      <xdr:row>69</xdr:row>
      <xdr:rowOff>142443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5392400"/>
          <a:ext cx="3152775" cy="285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74</xdr:row>
      <xdr:rowOff>133350</xdr:rowOff>
    </xdr:from>
    <xdr:to>
      <xdr:col>6</xdr:col>
      <xdr:colOff>240241</xdr:colOff>
      <xdr:row>76</xdr:row>
      <xdr:rowOff>2937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621125"/>
          <a:ext cx="3790950" cy="239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153349</xdr:colOff>
      <xdr:row>74</xdr:row>
      <xdr:rowOff>89424</xdr:rowOff>
    </xdr:from>
    <xdr:to>
      <xdr:col>13</xdr:col>
      <xdr:colOff>408408</xdr:colOff>
      <xdr:row>75</xdr:row>
      <xdr:rowOff>114446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4377" y="16706246"/>
          <a:ext cx="4134295" cy="208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78</xdr:row>
      <xdr:rowOff>123825</xdr:rowOff>
    </xdr:from>
    <xdr:to>
      <xdr:col>3</xdr:col>
      <xdr:colOff>266699</xdr:colOff>
      <xdr:row>81</xdr:row>
      <xdr:rowOff>30925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373600"/>
          <a:ext cx="1390650" cy="47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57150</xdr:rowOff>
    </xdr:from>
    <xdr:to>
      <xdr:col>4</xdr:col>
      <xdr:colOff>170392</xdr:colOff>
      <xdr:row>84</xdr:row>
      <xdr:rowOff>101043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49925"/>
          <a:ext cx="2543175" cy="234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21167</xdr:colOff>
      <xdr:row>87</xdr:row>
      <xdr:rowOff>21168</xdr:rowOff>
    </xdr:from>
    <xdr:to>
      <xdr:col>3</xdr:col>
      <xdr:colOff>331969</xdr:colOff>
      <xdr:row>88</xdr:row>
      <xdr:rowOff>148168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7" y="19177001"/>
          <a:ext cx="153847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219677</xdr:colOff>
      <xdr:row>63</xdr:row>
      <xdr:rowOff>10585</xdr:rowOff>
    </xdr:from>
    <xdr:to>
      <xdr:col>18</xdr:col>
      <xdr:colOff>456428</xdr:colOff>
      <xdr:row>74</xdr:row>
      <xdr:rowOff>68966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7013" y="14235772"/>
          <a:ext cx="5512731" cy="245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92</xdr:row>
      <xdr:rowOff>31753</xdr:rowOff>
    </xdr:from>
    <xdr:to>
      <xdr:col>2</xdr:col>
      <xdr:colOff>529168</xdr:colOff>
      <xdr:row>94</xdr:row>
      <xdr:rowOff>126954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20140086"/>
          <a:ext cx="1079501" cy="476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63499</xdr:colOff>
      <xdr:row>99</xdr:row>
      <xdr:rowOff>31752</xdr:rowOff>
    </xdr:from>
    <xdr:to>
      <xdr:col>2</xdr:col>
      <xdr:colOff>441697</xdr:colOff>
      <xdr:row>101</xdr:row>
      <xdr:rowOff>105835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9" y="21473585"/>
          <a:ext cx="992031" cy="455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132291</xdr:colOff>
      <xdr:row>105</xdr:row>
      <xdr:rowOff>182752</xdr:rowOff>
    </xdr:from>
    <xdr:ext cx="276225" cy="211577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24" y="22767585"/>
          <a:ext cx="276225" cy="21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132291</xdr:colOff>
      <xdr:row>113</xdr:row>
      <xdr:rowOff>140419</xdr:rowOff>
    </xdr:from>
    <xdr:ext cx="276225" cy="211577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24" y="10300419"/>
          <a:ext cx="276225" cy="211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402165</xdr:colOff>
      <xdr:row>40</xdr:row>
      <xdr:rowOff>74082</xdr:rowOff>
    </xdr:from>
    <xdr:to>
      <xdr:col>28</xdr:col>
      <xdr:colOff>507999</xdr:colOff>
      <xdr:row>44</xdr:row>
      <xdr:rowOff>179916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562165" y="8752415"/>
          <a:ext cx="7651751" cy="1206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 out should be higher than T in</a:t>
          </a:r>
        </a:p>
        <a:p>
          <a:r>
            <a:rPr lang="en-US" sz="1100" b="1"/>
            <a:t>so here we are getting T in</a:t>
          </a:r>
          <a:r>
            <a:rPr lang="en-US" sz="1100" b="1" baseline="0"/>
            <a:t> (in cell T45)</a:t>
          </a:r>
          <a:endParaRPr lang="en-US" sz="1100" b="1"/>
        </a:p>
        <a:p>
          <a:r>
            <a:rPr lang="en-US" sz="1100" b="1"/>
            <a:t>and we fixed T out at 18</a:t>
          </a:r>
        </a:p>
        <a:p>
          <a:endParaRPr lang="en-US" sz="1100" b="1"/>
        </a:p>
        <a:p>
          <a:r>
            <a:rPr lang="en-US" sz="1100" b="1"/>
            <a:t>Since Tc = (Tin+Tout )/2, and we</a:t>
          </a:r>
          <a:r>
            <a:rPr lang="en-US" sz="1100" b="1" baseline="0"/>
            <a:t> have Tout=18 and Tin &lt; Tout indeed --&gt; so TC</a:t>
          </a:r>
          <a:r>
            <a:rPr lang="en-US" sz="1100" b="1"/>
            <a:t> is  lower than 18 (between</a:t>
          </a:r>
          <a:r>
            <a:rPr lang="en-US" sz="1100" b="1" baseline="0"/>
            <a:t> T in and T out)</a:t>
          </a:r>
          <a:endParaRPr lang="en-US" sz="1100" b="1"/>
        </a:p>
        <a:p>
          <a:r>
            <a:rPr lang="en-US" sz="1100" b="1"/>
            <a:t>and m_W = Q/cp(Tout-Tin)=Q/cp(18-Tin)</a:t>
          </a:r>
          <a:endParaRPr lang="en-US" sz="1100" b="1" i="1"/>
        </a:p>
      </xdr:txBody>
    </xdr:sp>
    <xdr:clientData/>
  </xdr:twoCellAnchor>
  <xdr:twoCellAnchor>
    <xdr:from>
      <xdr:col>20</xdr:col>
      <xdr:colOff>317500</xdr:colOff>
      <xdr:row>44</xdr:row>
      <xdr:rowOff>137583</xdr:rowOff>
    </xdr:from>
    <xdr:to>
      <xdr:col>20</xdr:col>
      <xdr:colOff>328083</xdr:colOff>
      <xdr:row>46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H="1" flipV="1">
          <a:off x="12911667" y="9916583"/>
          <a:ext cx="10583" cy="338667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73</xdr:row>
          <xdr:rowOff>0</xdr:rowOff>
        </xdr:from>
        <xdr:to>
          <xdr:col>5</xdr:col>
          <xdr:colOff>304800</xdr:colOff>
          <xdr:row>74</xdr:row>
          <xdr:rowOff>47625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0</xdr:colOff>
      <xdr:row>43</xdr:row>
      <xdr:rowOff>0</xdr:rowOff>
    </xdr:from>
    <xdr:to>
      <xdr:col>9</xdr:col>
      <xdr:colOff>316214</xdr:colOff>
      <xdr:row>43</xdr:row>
      <xdr:rowOff>274947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3629602" y="9510568"/>
              <a:ext cx="2134623" cy="27494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𝑝𝑎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)+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𝑆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𝐶𝐶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5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 txBox="1"/>
          </xdr:nvSpPr>
          <xdr:spPr>
            <a:xfrm>
              <a:off x="3629602" y="9510568"/>
              <a:ext cx="2134623" cy="274947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𝑚_𝑆 𝑐_𝑝𝑎 (𝑇_𝑆−𝑇_𝑅)+𝑄_𝑆−𝑄_𝐶𝐶=0</a:t>
              </a:r>
              <a:endParaRPr lang="en-US"/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id="2" name="Table2" displayName="Table2" ref="C21:I27" totalsRowShown="0" headerRowDxfId="53" dataDxfId="51" headerRowBorderDxfId="52" tableBorderDxfId="50" totalsRowBorderDxfId="49">
  <autoFilter ref="C21:I27"/>
  <tableColumns count="7">
    <tableColumn id="1" name="P" dataDxfId="48"/>
    <tableColumn id="2" name="mdot" dataDxfId="47">
      <calculatedColumnFormula>$G$6/1000*$G$5/C22</calculatedColumnFormula>
    </tableColumn>
    <tableColumn id="3" name="Tc " dataDxfId="46"/>
    <tableColumn id="4" name="Ts" dataDxfId="45"/>
    <tableColumn id="5" name="R" dataDxfId="44"/>
    <tableColumn id="6" name="H" dataDxfId="43">
      <calculatedColumnFormula>0.017*E22+0.034*F22-0.036*C22+0.007*$G$6-0.084*G22+0.374</calculatedColumnFormula>
    </tableColumn>
    <tableColumn id="7" name="dT/dZ" dataDxfId="42">
      <calculatedColumnFormula>-0.136*E22-0.008*F22+0.052*C22+0.006*$G$6-0.213*G22+2.946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35:F41" totalsRowShown="0" tableBorderDxfId="41" totalsRowBorderDxfId="40" headerRowCellStyle="Accent5">
  <autoFilter ref="B35:F41"/>
  <tableColumns count="5">
    <tableColumn id="1" name="P" dataDxfId="39"/>
    <tableColumn id="2" name="mdot" dataDxfId="38">
      <calculatedColumnFormula>$G$6/1000*$G$5/B36</calculatedColumnFormula>
    </tableColumn>
    <tableColumn id="3" name="Ts" dataDxfId="37"/>
    <tableColumn id="4" name="dT/dZ" dataDxfId="36">
      <calculatedColumnFormula>I22</calculatedColumnFormula>
    </tableColumn>
    <tableColumn id="5" name="Tr" dataDxfId="35">
      <calculatedColumnFormula>D36+E36*3*3/(4)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B47:X53" totalsRowShown="0" headerRowDxfId="34" dataDxfId="32" headerRowBorderDxfId="33" tableBorderDxfId="31" totalsRowBorderDxfId="30">
  <autoFilter ref="B47:X53"/>
  <tableColumns count="23">
    <tableColumn id="1" name="P" dataDxfId="29"/>
    <tableColumn id="2" name="mdot" dataDxfId="28">
      <calculatedColumnFormula>$G$6/1000*$G$5/B48</calculatedColumnFormula>
    </tableColumn>
    <tableColumn id="3" name="Tc " dataDxfId="27"/>
    <tableColumn id="4" name="Ts" dataDxfId="26"/>
    <tableColumn id="5" name="R" dataDxfId="25"/>
    <tableColumn id="6" name="H" dataDxfId="24">
      <calculatedColumnFormula>0.017*D48+0.034*E48-0.036*B48+0.007*$G$6-0.084*F48+0.374</calculatedColumnFormula>
    </tableColumn>
    <tableColumn id="7" name="dT/dZ" dataDxfId="23">
      <calculatedColumnFormula>-0.136*D48-0.008*E48+0.052*B48+0.006*$G$6-0.213*F48+2.946</calculatedColumnFormula>
    </tableColumn>
    <tableColumn id="8" name="Qcc" dataDxfId="22">
      <calculatedColumnFormula>F48*$G$6*$G$5</calculatedColumnFormula>
    </tableColumn>
    <tableColumn id="9" name="Qsdv" dataDxfId="21">
      <calculatedColumnFormula>I48*(1/F48-1)</calculatedColumnFormula>
    </tableColumn>
    <tableColumn id="10" name="Qrh" dataDxfId="1">
      <calculatedColumnFormula>C48*1000*(E48-Table1[[#This Row],[Tdp]])</calculatedColumnFormula>
    </tableColumn>
    <tableColumn id="11" name="Wv" dataDxfId="20">
      <calculatedColumnFormula>12*'2'!$F$57/'2'!C48</calculatedColumnFormula>
    </tableColumn>
    <tableColumn id="12" name="Tdp,min" dataDxfId="19">
      <calculatedColumnFormula>D48-1.5</calculatedColumnFormula>
    </tableColumn>
    <tableColumn id="13" name="HR (wa, max)" dataDxfId="18">
      <calculatedColumnFormula>EXP((17.625*M48)/(243.04+M48))/EXP((17.625*F36)/(243.04+F36))/100</calculatedColumnFormula>
    </tableColumn>
    <tableColumn id="23" name="Tdp" dataDxfId="2"/>
    <tableColumn id="14" name="Ws. Max" dataDxfId="17">
      <calculatedColumnFormula>Table1[[#This Row],[HR (wa, max)]]-12*$F$57/C48</calculatedColumnFormula>
    </tableColumn>
    <tableColumn id="15" name="m cond" dataDxfId="16">
      <calculatedColumnFormula>C48*(0.01622-N48)+L48*C48</calculatedColumnFormula>
    </tableColumn>
    <tableColumn id="16" name="Qc" dataDxfId="4">
      <calculatedColumnFormula>J48+K48+Q48*2257+C48*1005*(30.7-E48)</calculatedColumnFormula>
    </tableColumn>
    <tableColumn id="17" name="fan power P (W)" dataDxfId="15" dataCellStyle="Comma">
      <calculatedColumnFormula>C48*1500/(0.5*1)</calculatedColumnFormula>
    </tableColumn>
    <tableColumn id="18" name="E DV" dataDxfId="14" dataCellStyle="Comma">
      <calculatedColumnFormula>S48+0.33*K48+0.5*R48</calculatedColumnFormula>
    </tableColumn>
    <tableColumn id="19" name="mw" dataDxfId="3">
      <calculatedColumnFormula>I48/(4200*(V48-15))</calculatedColumnFormula>
    </tableColumn>
    <tableColumn id="20" name=" Tw_out" dataDxfId="13">
      <calculatedColumnFormula>2*D48-15</calculatedColumnFormula>
    </tableColumn>
    <tableColumn id="21" name="Ppump" dataDxfId="12">
      <calculatedColumnFormula>U48*9.81*4/0.8</calculatedColumnFormula>
    </tableColumn>
    <tableColumn id="22" name="E total" dataDxfId="11">
      <calculatedColumnFormula>Table1[[#This Row],[Ppump]]+Table1[[#This Row],[E DV]]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7:A53" totalsRowShown="0" headerRowDxfId="10" dataDxfId="9">
  <autoFilter ref="A47:A53"/>
  <tableColumns count="1">
    <tableColumn id="1" name="Design" dataDxfId="8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5" name="Table46" displayName="Table46" ref="A35:A41" totalsRowShown="0" headerRowDxfId="7" dataDxfId="6">
  <autoFilter ref="A35:A41"/>
  <tableColumns count="1">
    <tableColumn id="1" name="Design" dataDxfId="5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10" name="Table10" displayName="Table10" ref="F1:I7" totalsRowShown="0">
  <autoFilter ref="F1:I7"/>
  <tableColumns count="4">
    <tableColumn id="1" name="Designs"/>
    <tableColumn id="2" name="Tr (degrees Celsius)"/>
    <tableColumn id="3" name="Specific Humidity (HR) (Kg of H2O/Kg of air"/>
    <tableColumn id="4" name="Relative Humidity (%)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11" Type="http://schemas.openxmlformats.org/officeDocument/2006/relationships/comments" Target="../comments1.xml"/><Relationship Id="rId5" Type="http://schemas.openxmlformats.org/officeDocument/2006/relationships/image" Target="../media/image1.wmf"/><Relationship Id="rId10" Type="http://schemas.openxmlformats.org/officeDocument/2006/relationships/table" Target="../tables/table5.xml"/><Relationship Id="rId4" Type="http://schemas.openxmlformats.org/officeDocument/2006/relationships/oleObject" Target="../embeddings/oleObject1.bin"/><Relationship Id="rId9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B118"/>
  <sheetViews>
    <sheetView tabSelected="1" topLeftCell="A43" zoomScale="77" zoomScaleNormal="48" workbookViewId="0">
      <selection activeCell="P61" sqref="P61"/>
    </sheetView>
  </sheetViews>
  <sheetFormatPr defaultRowHeight="15" x14ac:dyDescent="0.25"/>
  <cols>
    <col min="1" max="1" width="9.28515625" customWidth="1"/>
    <col min="4" max="4" width="17.28515625" customWidth="1"/>
    <col min="8" max="8" width="8.85546875" customWidth="1"/>
    <col min="13" max="13" width="11.5703125" customWidth="1"/>
    <col min="14" max="15" width="16.28515625" customWidth="1"/>
    <col min="16" max="16" width="11.5703125" customWidth="1"/>
    <col min="17" max="17" width="10.85546875" customWidth="1"/>
    <col min="19" max="19" width="19.5703125" customWidth="1"/>
    <col min="20" max="20" width="13.85546875" bestFit="1" customWidth="1"/>
    <col min="21" max="21" width="11" customWidth="1"/>
    <col min="22" max="22" width="12.28515625" bestFit="1" customWidth="1"/>
    <col min="23" max="23" width="11" customWidth="1"/>
    <col min="24" max="24" width="12.5703125" bestFit="1" customWidth="1"/>
    <col min="25" max="25" width="11" customWidth="1"/>
    <col min="31" max="31" width="12.5703125" bestFit="1" customWidth="1"/>
    <col min="32" max="32" width="20.7109375" bestFit="1" customWidth="1"/>
    <col min="33" max="33" width="11.28515625" bestFit="1" customWidth="1"/>
  </cols>
  <sheetData>
    <row r="2" spans="2:21" x14ac:dyDescent="0.25">
      <c r="C2" s="73" t="s">
        <v>23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2:21" x14ac:dyDescent="0.25"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5" spans="2:21" x14ac:dyDescent="0.25">
      <c r="C5" s="10" t="s">
        <v>27</v>
      </c>
      <c r="D5" s="10"/>
      <c r="E5" s="10"/>
      <c r="F5" s="7" t="s">
        <v>28</v>
      </c>
      <c r="G5" s="9">
        <f>'1'!D5</f>
        <v>25</v>
      </c>
    </row>
    <row r="6" spans="2:21" x14ac:dyDescent="0.25">
      <c r="C6" s="76" t="s">
        <v>46</v>
      </c>
      <c r="D6" s="76"/>
      <c r="E6" s="76"/>
      <c r="F6" s="13" t="s">
        <v>21</v>
      </c>
      <c r="G6" s="9">
        <f>'1'!K18</f>
        <v>88</v>
      </c>
    </row>
    <row r="7" spans="2:21" x14ac:dyDescent="0.25">
      <c r="C7" s="74" t="s">
        <v>14</v>
      </c>
      <c r="D7" s="74"/>
      <c r="E7" s="74"/>
      <c r="F7" s="7" t="s">
        <v>13</v>
      </c>
      <c r="G7">
        <v>16</v>
      </c>
    </row>
    <row r="8" spans="2:21" x14ac:dyDescent="0.25">
      <c r="C8" s="10" t="s">
        <v>12</v>
      </c>
      <c r="D8" s="10"/>
      <c r="E8" s="10"/>
      <c r="F8" s="7" t="s">
        <v>15</v>
      </c>
      <c r="G8">
        <v>19</v>
      </c>
    </row>
    <row r="9" spans="2:21" x14ac:dyDescent="0.25">
      <c r="C9" s="10" t="s">
        <v>16</v>
      </c>
      <c r="D9" s="10"/>
      <c r="E9" s="10"/>
      <c r="F9" s="7" t="s">
        <v>25</v>
      </c>
      <c r="G9">
        <v>0.5</v>
      </c>
    </row>
    <row r="10" spans="2:21" x14ac:dyDescent="0.25">
      <c r="C10" s="10" t="s">
        <v>17</v>
      </c>
      <c r="D10" s="10"/>
      <c r="E10" s="10"/>
      <c r="F10" s="7" t="s">
        <v>22</v>
      </c>
      <c r="G10">
        <v>1.5780000000000001</v>
      </c>
    </row>
    <row r="11" spans="2:21" x14ac:dyDescent="0.25">
      <c r="C11" s="10" t="s">
        <v>18</v>
      </c>
      <c r="D11" s="10"/>
      <c r="E11" s="10"/>
      <c r="F11" s="7" t="s">
        <v>26</v>
      </c>
      <c r="G11">
        <f>I24</f>
        <v>1.4608249999999998</v>
      </c>
    </row>
    <row r="12" spans="2:21" x14ac:dyDescent="0.25">
      <c r="C12" s="10" t="s">
        <v>20</v>
      </c>
      <c r="D12" s="10"/>
      <c r="E12" s="10"/>
      <c r="F12" s="7" t="s">
        <v>21</v>
      </c>
      <c r="G12">
        <v>88</v>
      </c>
    </row>
    <row r="13" spans="2:21" ht="59.25" customHeight="1" x14ac:dyDescent="0.25">
      <c r="C13" s="75" t="s">
        <v>24</v>
      </c>
      <c r="D13" s="75"/>
      <c r="E13" s="75"/>
      <c r="F13" s="7" t="s">
        <v>19</v>
      </c>
      <c r="G13">
        <v>8</v>
      </c>
    </row>
    <row r="14" spans="2:21" ht="29.25" customHeight="1" x14ac:dyDescent="0.25">
      <c r="B14" s="76" t="s">
        <v>29</v>
      </c>
      <c r="C14" s="76"/>
      <c r="D14" s="76"/>
      <c r="E14" s="76"/>
      <c r="F14" s="76"/>
      <c r="G14" s="76"/>
      <c r="H14" s="76"/>
    </row>
    <row r="15" spans="2:21" ht="25.5" customHeight="1" x14ac:dyDescent="0.25"/>
    <row r="21" spans="2:9" ht="21.75" customHeight="1" x14ac:dyDescent="0.25">
      <c r="B21" s="8"/>
      <c r="C21" s="40" t="s">
        <v>19</v>
      </c>
      <c r="D21" s="41" t="s">
        <v>69</v>
      </c>
      <c r="E21" s="42" t="s">
        <v>13</v>
      </c>
      <c r="F21" s="42" t="s">
        <v>15</v>
      </c>
      <c r="G21" s="42" t="s">
        <v>25</v>
      </c>
      <c r="H21" s="42" t="s">
        <v>22</v>
      </c>
      <c r="I21" s="43" t="s">
        <v>26</v>
      </c>
    </row>
    <row r="22" spans="2:9" x14ac:dyDescent="0.25">
      <c r="B22" s="11"/>
      <c r="C22" s="38">
        <v>4</v>
      </c>
      <c r="D22" s="14">
        <f t="shared" ref="D22:D27" si="0">$G$6/1000*$G$5/C22</f>
        <v>0.54999999999999993</v>
      </c>
      <c r="E22" s="11">
        <v>17</v>
      </c>
      <c r="F22" s="11">
        <v>18</v>
      </c>
      <c r="G22" s="11">
        <v>0.3</v>
      </c>
      <c r="H22" s="11">
        <f>0.017*E22+0.034*F22-0.036*C22+0.007*$G$6-0.084*G22+0.374</f>
        <v>1.7218000000000004</v>
      </c>
      <c r="I22" s="39">
        <f>-0.136*E22-0.008*F22+0.052*C22+0.006*$G$6-0.213*G22+2.946</f>
        <v>1.1620999999999999</v>
      </c>
    </row>
    <row r="23" spans="2:9" x14ac:dyDescent="0.25">
      <c r="B23" s="11"/>
      <c r="C23" s="38">
        <v>6</v>
      </c>
      <c r="D23" s="14">
        <f t="shared" si="0"/>
        <v>0.36666666666666664</v>
      </c>
      <c r="E23" s="11">
        <v>17</v>
      </c>
      <c r="F23" s="11">
        <v>18</v>
      </c>
      <c r="G23" s="11">
        <v>0.35</v>
      </c>
      <c r="H23" s="11">
        <f t="shared" ref="H23:H27" si="1">0.017*E23+0.034*F23-0.036*C23+0.007*$G$6-0.084*G23+0.374</f>
        <v>1.6456</v>
      </c>
      <c r="I23" s="39">
        <f t="shared" ref="I23:I27" si="2">-0.136*E23-0.008*F23+0.052*C23+0.006*$G$6-0.213*G23+2.946</f>
        <v>1.2554499999999997</v>
      </c>
    </row>
    <row r="24" spans="2:9" x14ac:dyDescent="0.25">
      <c r="B24" s="11"/>
      <c r="C24" s="38">
        <v>8</v>
      </c>
      <c r="D24" s="14">
        <f t="shared" si="0"/>
        <v>0.27499999999999997</v>
      </c>
      <c r="E24" s="11">
        <v>16</v>
      </c>
      <c r="F24" s="11">
        <v>19</v>
      </c>
      <c r="G24" s="11">
        <v>0.47499999999999998</v>
      </c>
      <c r="H24" s="11">
        <f t="shared" si="1"/>
        <v>1.5800999999999998</v>
      </c>
      <c r="I24" s="39">
        <f t="shared" si="2"/>
        <v>1.4608249999999998</v>
      </c>
    </row>
    <row r="25" spans="2:9" x14ac:dyDescent="0.25">
      <c r="B25" s="11"/>
      <c r="C25" s="38">
        <v>10</v>
      </c>
      <c r="D25" s="14">
        <f t="shared" si="0"/>
        <v>0.21999999999999997</v>
      </c>
      <c r="E25" s="11">
        <v>16</v>
      </c>
      <c r="F25" s="11">
        <v>19</v>
      </c>
      <c r="G25" s="11">
        <v>0.52500000000000002</v>
      </c>
      <c r="H25" s="11">
        <f t="shared" si="1"/>
        <v>1.5038999999999998</v>
      </c>
      <c r="I25" s="39">
        <f t="shared" si="2"/>
        <v>1.5541749999999999</v>
      </c>
    </row>
    <row r="26" spans="2:9" x14ac:dyDescent="0.25">
      <c r="B26" s="11"/>
      <c r="C26" s="44">
        <v>12</v>
      </c>
      <c r="D26" s="45">
        <f t="shared" si="0"/>
        <v>0.18333333333333332</v>
      </c>
      <c r="E26" s="46">
        <v>15.5</v>
      </c>
      <c r="F26" s="46">
        <v>20.5</v>
      </c>
      <c r="G26" s="46">
        <v>0.57499999999999996</v>
      </c>
      <c r="H26" s="11">
        <f t="shared" si="1"/>
        <v>1.4702000000000002</v>
      </c>
      <c r="I26" s="39">
        <f t="shared" si="2"/>
        <v>1.7035250000000002</v>
      </c>
    </row>
    <row r="27" spans="2:9" x14ac:dyDescent="0.25">
      <c r="B27" s="11"/>
      <c r="C27" s="44">
        <v>14</v>
      </c>
      <c r="D27" s="45">
        <f t="shared" si="0"/>
        <v>0.15714285714285711</v>
      </c>
      <c r="E27" s="46">
        <v>15.5</v>
      </c>
      <c r="F27" s="46">
        <v>20.5</v>
      </c>
      <c r="G27" s="46">
        <v>0.6</v>
      </c>
      <c r="H27" s="11">
        <f t="shared" si="1"/>
        <v>1.3961000000000001</v>
      </c>
      <c r="I27" s="39">
        <f t="shared" si="2"/>
        <v>1.8022</v>
      </c>
    </row>
    <row r="28" spans="2:9" x14ac:dyDescent="0.25">
      <c r="B28" s="11"/>
      <c r="C28" s="11"/>
      <c r="D28" s="14"/>
      <c r="E28" s="11"/>
      <c r="F28" s="11"/>
      <c r="G28" s="11"/>
      <c r="H28" s="11"/>
      <c r="I28" s="11"/>
    </row>
    <row r="29" spans="2:9" x14ac:dyDescent="0.25">
      <c r="B29" s="11"/>
      <c r="C29" s="11"/>
      <c r="D29" s="14"/>
      <c r="E29" s="11"/>
      <c r="F29" s="11"/>
      <c r="G29" s="11"/>
      <c r="H29" s="11"/>
      <c r="I29" s="11"/>
    </row>
    <row r="31" spans="2:9" ht="35.25" customHeight="1" x14ac:dyDescent="0.25">
      <c r="B31" s="77" t="s">
        <v>30</v>
      </c>
      <c r="C31" s="77"/>
      <c r="D31" s="77"/>
      <c r="E31" s="77"/>
      <c r="F31" s="77"/>
      <c r="G31" s="77"/>
      <c r="H31" s="77"/>
      <c r="I31" s="77"/>
    </row>
    <row r="33" spans="1:28" x14ac:dyDescent="0.25">
      <c r="B33" t="s">
        <v>31</v>
      </c>
    </row>
    <row r="34" spans="1:28" ht="32.25" customHeight="1" x14ac:dyDescent="0.25"/>
    <row r="35" spans="1:28" x14ac:dyDescent="0.25">
      <c r="A35" s="55" t="s">
        <v>72</v>
      </c>
      <c r="B35" s="64" t="s">
        <v>19</v>
      </c>
      <c r="C35" s="64" t="s">
        <v>69</v>
      </c>
      <c r="D35" s="64" t="s">
        <v>15</v>
      </c>
      <c r="E35" s="64" t="s">
        <v>26</v>
      </c>
      <c r="F35" s="64" t="s">
        <v>32</v>
      </c>
      <c r="G35" s="15"/>
    </row>
    <row r="36" spans="1:28" x14ac:dyDescent="0.25">
      <c r="A36" s="55">
        <v>1</v>
      </c>
      <c r="B36" s="38">
        <v>4</v>
      </c>
      <c r="C36" s="14">
        <f t="shared" ref="C36:C41" si="3">$G$6/1000*$G$5/B36</f>
        <v>0.54999999999999993</v>
      </c>
      <c r="D36" s="11">
        <v>18</v>
      </c>
      <c r="E36" s="11">
        <f t="shared" ref="E36:E41" si="4">I22</f>
        <v>1.1620999999999999</v>
      </c>
      <c r="F36" s="39">
        <f>D36+E36*3*3/(4)</f>
        <v>20.614725</v>
      </c>
      <c r="G36" s="16"/>
    </row>
    <row r="37" spans="1:28" x14ac:dyDescent="0.25">
      <c r="A37" s="55">
        <v>2</v>
      </c>
      <c r="B37" s="38">
        <v>6</v>
      </c>
      <c r="C37" s="14">
        <f t="shared" si="3"/>
        <v>0.36666666666666664</v>
      </c>
      <c r="D37" s="11">
        <v>18</v>
      </c>
      <c r="E37" s="11">
        <f t="shared" si="4"/>
        <v>1.2554499999999997</v>
      </c>
      <c r="F37" s="39">
        <f t="shared" ref="F37:F40" si="5">D37+E37*3*3/(4)</f>
        <v>20.824762499999999</v>
      </c>
      <c r="G37" s="16"/>
    </row>
    <row r="38" spans="1:28" x14ac:dyDescent="0.25">
      <c r="A38" s="55">
        <v>3</v>
      </c>
      <c r="B38" s="38">
        <v>8</v>
      </c>
      <c r="C38" s="14">
        <f t="shared" si="3"/>
        <v>0.27499999999999997</v>
      </c>
      <c r="D38" s="11">
        <v>19</v>
      </c>
      <c r="E38" s="11">
        <f t="shared" si="4"/>
        <v>1.4608249999999998</v>
      </c>
      <c r="F38" s="39">
        <f t="shared" si="5"/>
        <v>22.28685625</v>
      </c>
      <c r="G38" s="16"/>
    </row>
    <row r="39" spans="1:28" x14ac:dyDescent="0.25">
      <c r="A39" s="55">
        <v>4</v>
      </c>
      <c r="B39" s="38">
        <v>10</v>
      </c>
      <c r="C39" s="14">
        <f t="shared" si="3"/>
        <v>0.21999999999999997</v>
      </c>
      <c r="D39" s="11">
        <v>19</v>
      </c>
      <c r="E39" s="11">
        <f t="shared" si="4"/>
        <v>1.5541749999999999</v>
      </c>
      <c r="F39" s="39">
        <f t="shared" si="5"/>
        <v>22.496893749999998</v>
      </c>
      <c r="G39" s="16"/>
    </row>
    <row r="40" spans="1:28" x14ac:dyDescent="0.25">
      <c r="A40" s="55">
        <v>5</v>
      </c>
      <c r="B40" s="44">
        <v>12</v>
      </c>
      <c r="C40" s="45">
        <f t="shared" si="3"/>
        <v>0.18333333333333332</v>
      </c>
      <c r="D40" s="46">
        <v>20.5</v>
      </c>
      <c r="E40" s="46">
        <f t="shared" si="4"/>
        <v>1.7035250000000002</v>
      </c>
      <c r="F40" s="47">
        <f t="shared" si="5"/>
        <v>24.332931250000001</v>
      </c>
      <c r="G40" s="16"/>
    </row>
    <row r="41" spans="1:28" x14ac:dyDescent="0.25">
      <c r="A41" s="55">
        <v>6</v>
      </c>
      <c r="B41" s="44">
        <v>14</v>
      </c>
      <c r="C41" s="45">
        <f t="shared" si="3"/>
        <v>0.15714285714285711</v>
      </c>
      <c r="D41" s="46">
        <v>20.5</v>
      </c>
      <c r="E41" s="46">
        <f t="shared" si="4"/>
        <v>1.8022</v>
      </c>
      <c r="F41" s="47">
        <f>D41+E41*3*3/(4)</f>
        <v>24.554949999999998</v>
      </c>
      <c r="G41" s="16"/>
    </row>
    <row r="43" spans="1:28" x14ac:dyDescent="0.25">
      <c r="B43" t="s">
        <v>33</v>
      </c>
    </row>
    <row r="44" spans="1:28" ht="42" customHeight="1" x14ac:dyDescent="0.25">
      <c r="M44" s="6">
        <f>1000</f>
        <v>1000</v>
      </c>
    </row>
    <row r="47" spans="1:28" x14ac:dyDescent="0.25">
      <c r="A47" s="55" t="s">
        <v>72</v>
      </c>
      <c r="B47" s="40" t="s">
        <v>19</v>
      </c>
      <c r="C47" s="56" t="s">
        <v>69</v>
      </c>
      <c r="D47" s="42" t="s">
        <v>13</v>
      </c>
      <c r="E47" s="42" t="s">
        <v>15</v>
      </c>
      <c r="F47" s="42" t="s">
        <v>25</v>
      </c>
      <c r="G47" s="42" t="s">
        <v>22</v>
      </c>
      <c r="H47" s="42" t="s">
        <v>26</v>
      </c>
      <c r="I47" s="54" t="s">
        <v>34</v>
      </c>
      <c r="J47" s="54" t="s">
        <v>35</v>
      </c>
      <c r="K47" s="54" t="s">
        <v>36</v>
      </c>
      <c r="L47" t="s">
        <v>40</v>
      </c>
      <c r="M47" s="54" t="s">
        <v>42</v>
      </c>
      <c r="N47" s="55" t="s">
        <v>43</v>
      </c>
      <c r="O47" s="55" t="s">
        <v>73</v>
      </c>
      <c r="P47" s="55" t="s">
        <v>45</v>
      </c>
      <c r="Q47" s="55" t="s">
        <v>48</v>
      </c>
      <c r="R47" s="55" t="s">
        <v>50</v>
      </c>
      <c r="S47" s="55" t="s">
        <v>65</v>
      </c>
      <c r="T47" s="55" t="s">
        <v>70</v>
      </c>
      <c r="U47" s="55" t="s">
        <v>57</v>
      </c>
      <c r="V47" s="55" t="s">
        <v>68</v>
      </c>
      <c r="W47" s="55" t="s">
        <v>64</v>
      </c>
      <c r="X47" s="57" t="s">
        <v>71</v>
      </c>
      <c r="AA47" s="55"/>
    </row>
    <row r="48" spans="1:28" x14ac:dyDescent="0.25">
      <c r="A48" s="55">
        <v>1</v>
      </c>
      <c r="B48" s="52">
        <v>4</v>
      </c>
      <c r="C48" s="50">
        <f t="shared" ref="C48:C53" si="6">$G$6/1000*$G$5/B48</f>
        <v>0.54999999999999993</v>
      </c>
      <c r="D48" s="48">
        <v>17</v>
      </c>
      <c r="E48" s="48">
        <v>18</v>
      </c>
      <c r="F48" s="48">
        <v>0.3</v>
      </c>
      <c r="G48" s="11">
        <f>0.017*D48+0.034*E48-0.036*B48+0.007*$G$6-0.084*F48+0.374</f>
        <v>1.7218000000000004</v>
      </c>
      <c r="H48" s="11">
        <f>-0.136*D48-0.008*E48+0.052*B48+0.006*$G$6-0.213*F48+2.946</f>
        <v>1.1620999999999999</v>
      </c>
      <c r="I48" s="36">
        <f>F48*$G$6*$G$5</f>
        <v>660</v>
      </c>
      <c r="J48" s="36">
        <f>I48*(1/F48-1)</f>
        <v>1540</v>
      </c>
      <c r="K48" s="36">
        <f>C48*1000*(E48-Table1[[#This Row],[Tdp]])</f>
        <v>5185.3999999999996</v>
      </c>
      <c r="L48" s="36">
        <f>12*'2'!$F$57/'2'!C48</f>
        <v>3.054545454545455E-4</v>
      </c>
      <c r="M48" s="36">
        <f>D48-1.5</f>
        <v>15.5</v>
      </c>
      <c r="N48" s="36">
        <f>EXP((17.625*M48)/(243.04+M48))/EXP((17.625*F36)/(243.04+F36))/100</f>
        <v>7.2512240966463573E-3</v>
      </c>
      <c r="O48" s="78">
        <v>8.5719999999999992</v>
      </c>
      <c r="P48" s="36">
        <f>Table1[[#This Row],[HR (wa, max)]]-12*$F$57/C48</f>
        <v>6.9457695511918119E-3</v>
      </c>
      <c r="Q48" s="36">
        <f>C48*(0.01622-N48)+L48*C48</f>
        <v>5.1008267468445013E-3</v>
      </c>
      <c r="R48" s="36">
        <f>J48+K48+Q48*2257+C48*1005*(30.7-E48)</f>
        <v>13756.837565967626</v>
      </c>
      <c r="S48" s="58">
        <f>C48*1500/(0.5*1)</f>
        <v>1649.9999999999998</v>
      </c>
      <c r="T48" s="58">
        <f>S48+0.33*K48+0.5*R48</f>
        <v>10239.600782983813</v>
      </c>
      <c r="U48" s="36">
        <f t="shared" ref="U48:U53" si="7">I48/(4200*(V48-15))</f>
        <v>3.9285714285714285E-2</v>
      </c>
      <c r="V48" s="36">
        <f>2*D48-15</f>
        <v>19</v>
      </c>
      <c r="W48" s="59">
        <f>U48*9.81*4/0.8</f>
        <v>1.9269642857142857</v>
      </c>
      <c r="X48" s="60">
        <f>Table1[[#This Row],[Ppump]]+Table1[[#This Row],[E DV]]</f>
        <v>10241.527747269527</v>
      </c>
    </row>
    <row r="49" spans="1:26" x14ac:dyDescent="0.25">
      <c r="A49" s="55">
        <v>2</v>
      </c>
      <c r="B49" s="52">
        <v>6</v>
      </c>
      <c r="C49" s="50">
        <f t="shared" si="6"/>
        <v>0.36666666666666664</v>
      </c>
      <c r="D49" s="48">
        <v>17</v>
      </c>
      <c r="E49" s="48">
        <v>18</v>
      </c>
      <c r="F49" s="48">
        <v>0.35</v>
      </c>
      <c r="G49" s="11">
        <f t="shared" ref="G49:G53" si="8">0.017*D49+0.034*E49-0.036*B49+0.007*$G$6-0.084*F49+0.374</f>
        <v>1.6456</v>
      </c>
      <c r="H49" s="11">
        <f t="shared" ref="H49:H53" si="9">-0.136*D49-0.008*E49+0.052*B49+0.006*$G$6-0.213*F49+2.946</f>
        <v>1.2554499999999997</v>
      </c>
      <c r="I49" s="36">
        <f t="shared" ref="I49:I53" si="10">F49*$G$6*$G$5</f>
        <v>769.99999999999989</v>
      </c>
      <c r="J49" s="36">
        <f t="shared" ref="J49:J53" si="11">I49*(1/F49-1)</f>
        <v>1429.9999999999998</v>
      </c>
      <c r="K49" s="36">
        <f>C49*1000*(E49-Table1[[#This Row],[Tdp]])</f>
        <v>3666.2999999999997</v>
      </c>
      <c r="L49" s="36">
        <f>12*'2'!$F$57/'2'!C49</f>
        <v>4.5818181818181819E-4</v>
      </c>
      <c r="M49" s="36">
        <f t="shared" ref="M49:M53" si="12">D49-1.5</f>
        <v>15.5</v>
      </c>
      <c r="N49" s="36">
        <f>EXP((17.625*M49)/(243.04+M49))/EXP((17.625*F37)/(243.04+F37))/100</f>
        <v>7.1580505051518873E-3</v>
      </c>
      <c r="O49" s="65">
        <v>8.0009999999999994</v>
      </c>
      <c r="P49" s="36">
        <f>Table1[[#This Row],[HR (wa, max)]]-12*$F$57/C49</f>
        <v>6.6998686869700688E-3</v>
      </c>
      <c r="Q49" s="36">
        <f t="shared" ref="Q49:Q53" si="13">C49*(0.01622-N49)+L49*C49</f>
        <v>3.4907148147776401E-3</v>
      </c>
      <c r="R49" s="36">
        <f t="shared" ref="R49:R53" si="14">J49+K49+Q49*2257+C49*1005*(30.7-E49)</f>
        <v>9784.1285433369521</v>
      </c>
      <c r="S49" s="58">
        <f t="shared" ref="S48:S53" si="15">C49*1500/(0.5*1)</f>
        <v>1100</v>
      </c>
      <c r="T49" s="58">
        <f t="shared" ref="T49:T53" si="16">S49+0.33*K49+0.5*R49</f>
        <v>7201.943271668476</v>
      </c>
      <c r="U49" s="36">
        <f t="shared" si="7"/>
        <v>4.5833333333333323E-2</v>
      </c>
      <c r="V49" s="36">
        <f t="shared" ref="V49:V53" si="17">2*D49-15</f>
        <v>19</v>
      </c>
      <c r="W49" s="59">
        <f t="shared" ref="W49:W53" si="18">U49*9.81*4/0.8</f>
        <v>2.2481249999999995</v>
      </c>
      <c r="X49" s="60">
        <f>Table1[[#This Row],[Ppump]]+Table1[[#This Row],[E DV]]</f>
        <v>7204.191396668476</v>
      </c>
    </row>
    <row r="50" spans="1:26" x14ac:dyDescent="0.25">
      <c r="A50" s="55">
        <v>3</v>
      </c>
      <c r="B50" s="52">
        <v>8</v>
      </c>
      <c r="C50" s="50">
        <f t="shared" si="6"/>
        <v>0.27499999999999997</v>
      </c>
      <c r="D50" s="48">
        <v>16</v>
      </c>
      <c r="E50" s="48">
        <v>19</v>
      </c>
      <c r="F50" s="48">
        <v>0.47499999999999998</v>
      </c>
      <c r="G50" s="11">
        <f t="shared" si="8"/>
        <v>1.5800999999999998</v>
      </c>
      <c r="H50" s="11">
        <f t="shared" si="9"/>
        <v>1.4608249999999998</v>
      </c>
      <c r="I50" s="36">
        <f t="shared" si="10"/>
        <v>1045</v>
      </c>
      <c r="J50" s="36">
        <f t="shared" si="11"/>
        <v>1154.9999999999998</v>
      </c>
      <c r="K50" s="36">
        <f>C50*1000*(E50-Table1[[#This Row],[Tdp]])</f>
        <v>3769.974999999999</v>
      </c>
      <c r="L50" s="36">
        <f>12*'2'!$F$57/'2'!C50</f>
        <v>6.1090909090909099E-4</v>
      </c>
      <c r="M50" s="36">
        <f t="shared" si="12"/>
        <v>14.5</v>
      </c>
      <c r="N50" s="36">
        <f t="shared" ref="N49:N53" si="19">EXP((17.625*M50)/(243.04+M50))/EXP((17.625*F38)/(243.04+F38))/100</f>
        <v>6.1376780876617135E-3</v>
      </c>
      <c r="O50" s="65">
        <v>5.2910000000000004</v>
      </c>
      <c r="P50" s="36">
        <f>Table1[[#This Row],[HR (wa, max)]]-12*$F$57/C50</f>
        <v>5.5267689967526228E-3</v>
      </c>
      <c r="Q50" s="36">
        <f t="shared" si="13"/>
        <v>2.9406385258930281E-3</v>
      </c>
      <c r="R50" s="36">
        <f t="shared" si="14"/>
        <v>8165.1995211529375</v>
      </c>
      <c r="S50" s="58">
        <f t="shared" si="15"/>
        <v>824.99999999999989</v>
      </c>
      <c r="T50" s="58">
        <f t="shared" si="16"/>
        <v>6151.6915105764683</v>
      </c>
      <c r="U50" s="36">
        <f t="shared" si="7"/>
        <v>0.12440476190476191</v>
      </c>
      <c r="V50" s="36">
        <f t="shared" si="17"/>
        <v>17</v>
      </c>
      <c r="W50" s="59">
        <f t="shared" si="18"/>
        <v>6.1020535714285717</v>
      </c>
      <c r="X50" s="60">
        <f>Table1[[#This Row],[Ppump]]+Table1[[#This Row],[E DV]]</f>
        <v>6157.7935641478971</v>
      </c>
    </row>
    <row r="51" spans="1:26" x14ac:dyDescent="0.25">
      <c r="A51" s="55">
        <v>4</v>
      </c>
      <c r="B51" s="52">
        <v>10</v>
      </c>
      <c r="C51" s="50">
        <f t="shared" si="6"/>
        <v>0.21999999999999997</v>
      </c>
      <c r="D51" s="48">
        <v>16</v>
      </c>
      <c r="E51" s="48">
        <v>19</v>
      </c>
      <c r="F51" s="48">
        <v>0.52500000000000002</v>
      </c>
      <c r="G51" s="11">
        <f t="shared" si="8"/>
        <v>1.5038999999999998</v>
      </c>
      <c r="H51" s="11">
        <f t="shared" si="9"/>
        <v>1.5541749999999999</v>
      </c>
      <c r="I51" s="36">
        <f t="shared" si="10"/>
        <v>1155</v>
      </c>
      <c r="J51" s="36">
        <f t="shared" si="11"/>
        <v>1044.9999999999998</v>
      </c>
      <c r="K51" s="36">
        <f>C51*1000*(E51-Table1[[#This Row],[Tdp]])</f>
        <v>3149.9599999999996</v>
      </c>
      <c r="L51" s="36">
        <f>12*'2'!$F$57/'2'!C51</f>
        <v>7.6363636363636369E-4</v>
      </c>
      <c r="M51" s="36">
        <f t="shared" si="12"/>
        <v>14.5</v>
      </c>
      <c r="N51" s="36">
        <f t="shared" si="19"/>
        <v>6.059797057946634E-3</v>
      </c>
      <c r="O51" s="65">
        <v>4.6820000000000004</v>
      </c>
      <c r="P51" s="36">
        <f>Table1[[#This Row],[HR (wa, max)]]-12*$F$57/C51</f>
        <v>5.2961606943102701E-3</v>
      </c>
      <c r="Q51" s="36">
        <f t="shared" si="13"/>
        <v>2.4032446472517402E-3</v>
      </c>
      <c r="R51" s="36">
        <f t="shared" si="14"/>
        <v>6787.2541231688465</v>
      </c>
      <c r="S51" s="58">
        <f t="shared" si="15"/>
        <v>659.99999999999989</v>
      </c>
      <c r="T51" s="58">
        <f t="shared" si="16"/>
        <v>5093.1138615844229</v>
      </c>
      <c r="U51" s="36">
        <f t="shared" si="7"/>
        <v>0.13750000000000001</v>
      </c>
      <c r="V51" s="36">
        <f t="shared" si="17"/>
        <v>17</v>
      </c>
      <c r="W51" s="59">
        <f t="shared" si="18"/>
        <v>6.7443750000000007</v>
      </c>
      <c r="X51" s="60">
        <f>Table1[[#This Row],[Ppump]]+Table1[[#This Row],[E DV]]</f>
        <v>5099.8582365844231</v>
      </c>
    </row>
    <row r="52" spans="1:26" x14ac:dyDescent="0.25">
      <c r="A52" s="55">
        <v>5</v>
      </c>
      <c r="B52" s="53">
        <v>12</v>
      </c>
      <c r="C52" s="51">
        <f t="shared" si="6"/>
        <v>0.18333333333333332</v>
      </c>
      <c r="D52" s="49">
        <v>15.5</v>
      </c>
      <c r="E52" s="49">
        <v>20.5</v>
      </c>
      <c r="F52" s="49">
        <v>0.57499999999999996</v>
      </c>
      <c r="G52" s="11">
        <f t="shared" si="8"/>
        <v>1.4702000000000002</v>
      </c>
      <c r="H52" s="11">
        <f t="shared" si="9"/>
        <v>1.7035250000000002</v>
      </c>
      <c r="I52" s="36">
        <f t="shared" si="10"/>
        <v>1264.9999999999998</v>
      </c>
      <c r="J52" s="36">
        <f t="shared" si="11"/>
        <v>935</v>
      </c>
      <c r="K52" s="36">
        <f>C52*1000*(E52-Table1[[#This Row],[Tdp]])</f>
        <v>3415.3166666666666</v>
      </c>
      <c r="L52" s="36">
        <f>12*'2'!$F$57/'2'!C52</f>
        <v>9.1636363636363638E-4</v>
      </c>
      <c r="M52" s="36">
        <f t="shared" si="12"/>
        <v>14</v>
      </c>
      <c r="N52" s="36">
        <f t="shared" si="19"/>
        <v>5.2516690327034186E-3</v>
      </c>
      <c r="O52" s="65">
        <v>1.871</v>
      </c>
      <c r="P52" s="36">
        <f>Table1[[#This Row],[HR (wa, max)]]-12*$F$57/C52</f>
        <v>4.3353053963397824E-3</v>
      </c>
      <c r="Q52" s="36">
        <f t="shared" si="13"/>
        <v>2.1788606773377062E-3</v>
      </c>
      <c r="R52" s="36">
        <f t="shared" si="14"/>
        <v>6234.5843552154183</v>
      </c>
      <c r="S52" s="58">
        <f t="shared" si="15"/>
        <v>550</v>
      </c>
      <c r="T52" s="58">
        <f t="shared" si="16"/>
        <v>4794.3466776077094</v>
      </c>
      <c r="U52" s="36">
        <f t="shared" si="7"/>
        <v>0.30119047619047612</v>
      </c>
      <c r="V52" s="36">
        <f t="shared" si="17"/>
        <v>16</v>
      </c>
      <c r="W52" s="59">
        <f t="shared" si="18"/>
        <v>14.773392857142854</v>
      </c>
      <c r="X52" s="60">
        <f>Table1[[#This Row],[Ppump]]+Table1[[#This Row],[E DV]]</f>
        <v>4809.1200704648518</v>
      </c>
    </row>
    <row r="53" spans="1:26" x14ac:dyDescent="0.25">
      <c r="A53" s="55">
        <v>6</v>
      </c>
      <c r="B53" s="53">
        <v>14</v>
      </c>
      <c r="C53" s="51">
        <f t="shared" si="6"/>
        <v>0.15714285714285711</v>
      </c>
      <c r="D53" s="49">
        <v>15.5</v>
      </c>
      <c r="E53" s="49">
        <v>20.5</v>
      </c>
      <c r="F53" s="49">
        <v>0.6</v>
      </c>
      <c r="G53" s="46">
        <f t="shared" si="8"/>
        <v>1.3961000000000001</v>
      </c>
      <c r="H53" s="46">
        <f t="shared" si="9"/>
        <v>1.8022</v>
      </c>
      <c r="I53" s="61">
        <f t="shared" si="10"/>
        <v>1320</v>
      </c>
      <c r="J53" s="61">
        <f t="shared" si="11"/>
        <v>880.00000000000011</v>
      </c>
      <c r="K53" s="61">
        <f>C53*1000*(E53-Table1[[#This Row],[Tdp]])</f>
        <v>3041.9714285714281</v>
      </c>
      <c r="L53" s="61">
        <f>12*'2'!$F$57/'2'!C53</f>
        <v>1.0690909090909093E-3</v>
      </c>
      <c r="M53" s="61">
        <f t="shared" si="12"/>
        <v>14</v>
      </c>
      <c r="N53" s="61">
        <f t="shared" si="19"/>
        <v>5.1823240032059245E-3</v>
      </c>
      <c r="O53" s="61">
        <v>1.1419999999999999</v>
      </c>
      <c r="P53" s="61">
        <f>Table1[[#This Row],[HR (wa, max)]]-12*$F$57/C53</f>
        <v>4.1132330941150153E-3</v>
      </c>
      <c r="Q53" s="61">
        <f t="shared" si="13"/>
        <v>1.9024919423533543E-3</v>
      </c>
      <c r="R53" s="61">
        <f t="shared" si="14"/>
        <v>5537.1367814567475</v>
      </c>
      <c r="S53" s="62">
        <f t="shared" si="15"/>
        <v>471.42857142857133</v>
      </c>
      <c r="T53" s="62">
        <f t="shared" si="16"/>
        <v>4243.8475335855164</v>
      </c>
      <c r="U53" s="61">
        <f t="shared" si="7"/>
        <v>0.31428571428571428</v>
      </c>
      <c r="V53" s="61">
        <f t="shared" si="17"/>
        <v>16</v>
      </c>
      <c r="W53" s="63">
        <f t="shared" si="18"/>
        <v>15.415714285714285</v>
      </c>
      <c r="X53" s="60">
        <f>Table1[[#This Row],[Ppump]]+Table1[[#This Row],[E DV]]</f>
        <v>4259.2632478712303</v>
      </c>
    </row>
    <row r="55" spans="1:26" x14ac:dyDescent="0.25">
      <c r="B55" s="70" t="s">
        <v>37</v>
      </c>
      <c r="C55" s="70"/>
      <c r="D55" s="70"/>
      <c r="E55" s="70"/>
      <c r="F55" s="70"/>
      <c r="G55" s="70"/>
      <c r="H55" s="70"/>
      <c r="I55" s="70"/>
      <c r="J55" s="70"/>
      <c r="K55" s="70"/>
    </row>
    <row r="56" spans="1:26" ht="29.25" customHeight="1" x14ac:dyDescent="0.25">
      <c r="E56" t="s">
        <v>38</v>
      </c>
    </row>
    <row r="57" spans="1:26" x14ac:dyDescent="0.25">
      <c r="E57" t="s">
        <v>39</v>
      </c>
      <c r="F57">
        <v>1.4E-5</v>
      </c>
    </row>
    <row r="59" spans="1:26" ht="31.5" customHeight="1" x14ac:dyDescent="0.25">
      <c r="B59" s="71" t="s">
        <v>41</v>
      </c>
      <c r="C59" s="71"/>
      <c r="D59" s="71"/>
      <c r="E59" s="71"/>
      <c r="F59" s="71"/>
      <c r="G59" s="71"/>
      <c r="H59" s="71"/>
      <c r="I59" s="71"/>
      <c r="J59" s="71"/>
      <c r="K59" s="71"/>
    </row>
    <row r="63" spans="1:26" ht="33.75" customHeight="1" x14ac:dyDescent="0.25">
      <c r="B63" s="72" t="s">
        <v>44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Y63" s="55"/>
      <c r="Z63" s="55"/>
    </row>
    <row r="64" spans="1:26" x14ac:dyDescent="0.25">
      <c r="Y64" s="55"/>
      <c r="Z64" s="65"/>
    </row>
    <row r="65" spans="2:26" x14ac:dyDescent="0.25">
      <c r="Y65" s="55"/>
      <c r="Z65" s="65"/>
    </row>
    <row r="66" spans="2:26" x14ac:dyDescent="0.25">
      <c r="Y66" s="55"/>
      <c r="Z66" s="65"/>
    </row>
    <row r="67" spans="2:26" x14ac:dyDescent="0.25">
      <c r="B67" s="22" t="s">
        <v>47</v>
      </c>
      <c r="C67" s="22"/>
      <c r="D67" s="22"/>
      <c r="E67" s="22"/>
      <c r="F67" s="22"/>
      <c r="G67" s="22"/>
      <c r="H67" s="22"/>
      <c r="Y67" s="55"/>
      <c r="Z67" s="65"/>
    </row>
    <row r="68" spans="2:26" ht="43.5" customHeight="1" x14ac:dyDescent="0.25">
      <c r="Y68" s="55"/>
      <c r="Z68" s="65"/>
    </row>
    <row r="69" spans="2:26" x14ac:dyDescent="0.25">
      <c r="Y69" s="55"/>
      <c r="Z69" s="61"/>
    </row>
    <row r="72" spans="2:26" x14ac:dyDescent="0.25">
      <c r="B72" s="20" t="s">
        <v>49</v>
      </c>
      <c r="C72" s="20"/>
      <c r="D72" s="20"/>
      <c r="E72" s="20"/>
      <c r="F72" s="20"/>
      <c r="G72" s="20"/>
      <c r="H72" s="20"/>
    </row>
    <row r="78" spans="2:26" x14ac:dyDescent="0.25">
      <c r="B78" s="18" t="s">
        <v>51</v>
      </c>
      <c r="C78" s="18"/>
      <c r="D78" s="18"/>
      <c r="E78" s="18"/>
    </row>
    <row r="83" spans="2:10" x14ac:dyDescent="0.25">
      <c r="B83" s="26" t="s">
        <v>52</v>
      </c>
      <c r="C83" s="26"/>
      <c r="D83" s="26"/>
      <c r="E83" s="26"/>
      <c r="F83" s="26"/>
      <c r="G83" s="26"/>
    </row>
    <row r="87" spans="2:10" x14ac:dyDescent="0.25">
      <c r="B87" s="27" t="s">
        <v>54</v>
      </c>
      <c r="C87" s="27"/>
      <c r="D87" s="27"/>
      <c r="E87" s="27"/>
      <c r="F87" s="27"/>
      <c r="G87" s="27"/>
      <c r="H87" s="27"/>
      <c r="I87" s="27"/>
    </row>
    <row r="90" spans="2:10" x14ac:dyDescent="0.25">
      <c r="B90" t="s">
        <v>57</v>
      </c>
      <c r="C90" t="s">
        <v>58</v>
      </c>
    </row>
    <row r="92" spans="2:10" x14ac:dyDescent="0.25">
      <c r="B92" s="32" t="s">
        <v>59</v>
      </c>
      <c r="C92" s="32"/>
      <c r="D92" s="32"/>
      <c r="E92" s="32"/>
      <c r="F92" s="32"/>
      <c r="G92" s="32"/>
      <c r="H92" s="32"/>
      <c r="I92" s="32"/>
      <c r="J92" s="32"/>
    </row>
    <row r="96" spans="2:10" x14ac:dyDescent="0.25">
      <c r="B96" t="s">
        <v>55</v>
      </c>
    </row>
    <row r="97" spans="2:17" x14ac:dyDescent="0.25">
      <c r="B97" t="s">
        <v>56</v>
      </c>
    </row>
    <row r="99" spans="2:17" x14ac:dyDescent="0.25">
      <c r="B99" s="33" t="s">
        <v>61</v>
      </c>
      <c r="C99" s="33"/>
      <c r="D99" s="33"/>
      <c r="E99" s="33"/>
      <c r="F99" s="33"/>
    </row>
    <row r="100" spans="2:17" x14ac:dyDescent="0.25">
      <c r="G100" t="s">
        <v>62</v>
      </c>
    </row>
    <row r="101" spans="2:17" x14ac:dyDescent="0.25">
      <c r="G101" t="s">
        <v>63</v>
      </c>
    </row>
    <row r="105" spans="2:17" x14ac:dyDescent="0.25">
      <c r="B105" s="9" t="s">
        <v>66</v>
      </c>
    </row>
    <row r="107" spans="2:17" x14ac:dyDescent="0.25">
      <c r="B107" s="8" t="s">
        <v>19</v>
      </c>
      <c r="C107" s="2"/>
      <c r="D107" s="8" t="s">
        <v>13</v>
      </c>
      <c r="E107" s="8" t="s">
        <v>15</v>
      </c>
      <c r="F107" s="8" t="s">
        <v>25</v>
      </c>
      <c r="G107" s="8" t="s">
        <v>22</v>
      </c>
      <c r="H107" s="8" t="s">
        <v>26</v>
      </c>
    </row>
    <row r="108" spans="2:17" x14ac:dyDescent="0.25">
      <c r="B108" s="11">
        <v>8</v>
      </c>
      <c r="C108" s="14">
        <f t="shared" ref="C108" si="20">$G$6/1000*$G$5/B108</f>
        <v>0.27499999999999997</v>
      </c>
      <c r="D108" s="11">
        <v>16</v>
      </c>
      <c r="E108" s="11">
        <v>19</v>
      </c>
      <c r="F108" s="11">
        <v>0.5</v>
      </c>
      <c r="G108" s="11">
        <f t="shared" ref="G108" si="21">0.017*D108+0.034*E108-0.036*B108+0.007*$G$6-0.084*F108+0.374</f>
        <v>1.5779999999999998</v>
      </c>
      <c r="H108" s="11">
        <f t="shared" ref="H108" si="22">-0.136*D108-0.008*E108+0.052*B108+0.006*$G$6-0.213*F108+2.946</f>
        <v>1.4554999999999998</v>
      </c>
    </row>
    <row r="109" spans="2:17" x14ac:dyDescent="0.25">
      <c r="B109" s="11">
        <v>10</v>
      </c>
      <c r="C109" s="14"/>
      <c r="D109" s="11"/>
      <c r="E109" s="11"/>
      <c r="F109" s="11"/>
      <c r="G109" s="11"/>
      <c r="H109" s="11"/>
    </row>
    <row r="110" spans="2:17" x14ac:dyDescent="0.25">
      <c r="B110" s="11">
        <v>12</v>
      </c>
      <c r="C110" s="14"/>
      <c r="D110" s="11"/>
      <c r="E110" s="11"/>
      <c r="F110" s="11"/>
      <c r="G110" s="11"/>
      <c r="H110" s="11"/>
    </row>
    <row r="112" spans="2:17" ht="35.25" customHeight="1" x14ac:dyDescent="0.25">
      <c r="B112" s="73" t="s">
        <v>67</v>
      </c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</row>
    <row r="113" spans="2:23" ht="15.75" x14ac:dyDescent="0.3">
      <c r="B113" s="35"/>
    </row>
    <row r="114" spans="2:23" x14ac:dyDescent="0.25">
      <c r="B114" s="8" t="s">
        <v>19</v>
      </c>
      <c r="C114" s="2"/>
      <c r="D114" s="8" t="s">
        <v>13</v>
      </c>
      <c r="E114" s="8" t="s">
        <v>15</v>
      </c>
      <c r="F114" s="8" t="s">
        <v>25</v>
      </c>
      <c r="G114" s="8" t="s">
        <v>22</v>
      </c>
      <c r="H114" s="8" t="s">
        <v>26</v>
      </c>
      <c r="I114" s="17" t="s">
        <v>34</v>
      </c>
      <c r="J114" s="17" t="s">
        <v>35</v>
      </c>
      <c r="K114" s="17" t="s">
        <v>36</v>
      </c>
      <c r="L114" s="25" t="s">
        <v>40</v>
      </c>
      <c r="M114" s="17" t="s">
        <v>42</v>
      </c>
      <c r="N114" s="24" t="s">
        <v>43</v>
      </c>
      <c r="O114" s="24"/>
      <c r="P114" s="29" t="s">
        <v>45</v>
      </c>
      <c r="Q114" s="23" t="s">
        <v>48</v>
      </c>
      <c r="R114" s="21" t="s">
        <v>50</v>
      </c>
      <c r="S114" s="19" t="s">
        <v>65</v>
      </c>
      <c r="T114" s="28" t="s">
        <v>53</v>
      </c>
      <c r="U114" s="30" t="s">
        <v>57</v>
      </c>
      <c r="V114" s="31" t="s">
        <v>60</v>
      </c>
      <c r="W114" s="25" t="s">
        <v>64</v>
      </c>
    </row>
    <row r="115" spans="2:23" x14ac:dyDescent="0.25">
      <c r="B115" s="11">
        <v>8</v>
      </c>
      <c r="C115" s="14">
        <f t="shared" ref="C115" si="23">$G$6/1000*$G$5/B115</f>
        <v>0.27499999999999997</v>
      </c>
      <c r="D115" s="11">
        <v>16</v>
      </c>
      <c r="E115" s="11">
        <v>19</v>
      </c>
      <c r="F115" s="11">
        <v>0.5</v>
      </c>
      <c r="G115" s="11">
        <f t="shared" ref="G115" si="24">0.017*D115+0.034*E115-0.036*B115+0.007*$G$6-0.084*F115+0.374</f>
        <v>1.5779999999999998</v>
      </c>
      <c r="H115" s="11">
        <f t="shared" ref="H115" si="25">-0.136*D115-0.008*E115+0.052*B115+0.006*$G$6-0.213*F115+2.946</f>
        <v>1.4554999999999998</v>
      </c>
      <c r="I115" s="2">
        <f t="shared" ref="I115" si="26">F115*$G$6*$G$5</f>
        <v>1100</v>
      </c>
      <c r="J115" s="2">
        <f t="shared" ref="J115" si="27">I115*(1/F115-1)</f>
        <v>1100</v>
      </c>
      <c r="K115" s="2"/>
      <c r="L115" s="2">
        <f>'1'!$N$8*'2'!$F$57/'2'!C115</f>
        <v>6.1090909090909099E-4</v>
      </c>
      <c r="M115" s="2">
        <f t="shared" ref="M115" si="28">D115-1.5</f>
        <v>14.5</v>
      </c>
      <c r="N115" s="2">
        <f>EXP((17.625*M115)/(243.04+M115))/EXP((17.625*F108)/(243.04+F108))/100</f>
        <v>2.60162580748265E-2</v>
      </c>
      <c r="O115" s="2"/>
      <c r="P115" s="2">
        <f>N115*M115-'1'!$N$8*$F$57/C115</f>
        <v>0.37662483299407512</v>
      </c>
      <c r="Q115" s="2">
        <f t="shared" ref="Q115" si="29">C115*(0.01546-N115)+0.05</f>
        <v>4.7097029029422713E-2</v>
      </c>
      <c r="R115" s="2"/>
      <c r="S115" s="34"/>
      <c r="T115" s="34">
        <f t="shared" ref="T115" si="30">0.5*R115+0.33*K115+S115</f>
        <v>0</v>
      </c>
      <c r="U115" s="12"/>
      <c r="V115" s="2"/>
      <c r="W115" s="2"/>
    </row>
    <row r="116" spans="2:23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2:23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2:23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</sheetData>
  <mergeCells count="10">
    <mergeCell ref="B55:K55"/>
    <mergeCell ref="B59:K59"/>
    <mergeCell ref="B63:L63"/>
    <mergeCell ref="B112:Q112"/>
    <mergeCell ref="C2:U3"/>
    <mergeCell ref="C7:E7"/>
    <mergeCell ref="C13:E13"/>
    <mergeCell ref="C6:E6"/>
    <mergeCell ref="B14:H14"/>
    <mergeCell ref="B31:I3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9" r:id="rId4">
          <objectPr defaultSize="0" autoPict="0" r:id="rId5">
            <anchor moveWithCells="1" sizeWithCells="1">
              <from>
                <xdr:col>1</xdr:col>
                <xdr:colOff>0</xdr:colOff>
                <xdr:row>73</xdr:row>
                <xdr:rowOff>0</xdr:rowOff>
              </from>
              <to>
                <xdr:col>5</xdr:col>
                <xdr:colOff>304800</xdr:colOff>
                <xdr:row>74</xdr:row>
                <xdr:rowOff>47625</xdr:rowOff>
              </to>
            </anchor>
          </objectPr>
        </oleObject>
      </mc:Choice>
      <mc:Fallback>
        <oleObject progId="Equation.DSMT4" shapeId="1029" r:id="rId4"/>
      </mc:Fallback>
    </mc:AlternateContent>
  </oleObjects>
  <tableParts count="5"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C13" sqref="C13"/>
    </sheetView>
  </sheetViews>
  <sheetFormatPr defaultRowHeight="15" x14ac:dyDescent="0.25"/>
  <cols>
    <col min="2" max="2" width="25.140625" customWidth="1"/>
  </cols>
  <sheetData>
    <row r="1" spans="1:18" ht="18.75" x14ac:dyDescent="0.3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</row>
    <row r="3" spans="1:18" x14ac:dyDescent="0.25">
      <c r="A3" s="68" t="s">
        <v>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</row>
    <row r="5" spans="1:18" x14ac:dyDescent="0.25">
      <c r="B5" s="69" t="s">
        <v>4</v>
      </c>
      <c r="C5" s="69"/>
      <c r="D5" s="2">
        <v>25</v>
      </c>
      <c r="F5" s="69" t="s">
        <v>5</v>
      </c>
      <c r="G5" s="69"/>
      <c r="H5" s="2">
        <v>3</v>
      </c>
      <c r="J5" s="69" t="s">
        <v>8</v>
      </c>
      <c r="K5" s="69"/>
      <c r="L5" s="2">
        <v>100</v>
      </c>
      <c r="N5" s="69" t="s">
        <v>9</v>
      </c>
      <c r="O5" s="69"/>
      <c r="P5" s="69"/>
      <c r="Q5" s="69"/>
      <c r="R5" s="2">
        <v>1000</v>
      </c>
    </row>
    <row r="7" spans="1:18" x14ac:dyDescent="0.25">
      <c r="B7" s="4" t="s">
        <v>2</v>
      </c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</row>
    <row r="8" spans="1:18" ht="27" customHeight="1" x14ac:dyDescent="0.25">
      <c r="B8" s="3" t="s">
        <v>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4</v>
      </c>
      <c r="K8" s="2">
        <v>5</v>
      </c>
      <c r="L8" s="2">
        <v>10</v>
      </c>
      <c r="M8" s="2">
        <v>10</v>
      </c>
      <c r="N8" s="2">
        <v>12</v>
      </c>
    </row>
    <row r="9" spans="1:18" ht="30" x14ac:dyDescent="0.25">
      <c r="B9" s="3" t="s">
        <v>6</v>
      </c>
      <c r="C9" s="2">
        <f>C8*$L$5/$D$5</f>
        <v>0</v>
      </c>
      <c r="D9" s="2">
        <f t="shared" ref="D9:N9" si="0">D8*$L$5/$D$5</f>
        <v>0</v>
      </c>
      <c r="E9" s="2">
        <f>E8*$L$5/$D$5</f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  <c r="I9" s="2">
        <f t="shared" si="0"/>
        <v>4</v>
      </c>
      <c r="J9" s="2">
        <f t="shared" si="0"/>
        <v>16</v>
      </c>
      <c r="K9" s="2">
        <f t="shared" si="0"/>
        <v>20</v>
      </c>
      <c r="L9" s="2">
        <f t="shared" si="0"/>
        <v>40</v>
      </c>
      <c r="M9" s="2">
        <f t="shared" si="0"/>
        <v>40</v>
      </c>
      <c r="N9" s="2">
        <f t="shared" si="0"/>
        <v>48</v>
      </c>
    </row>
    <row r="10" spans="1:18" ht="30" x14ac:dyDescent="0.25">
      <c r="B10" s="3" t="s">
        <v>7</v>
      </c>
      <c r="C10" s="2">
        <f>$R$5/$D$5</f>
        <v>40</v>
      </c>
      <c r="D10" s="2">
        <f t="shared" ref="D10:N10" si="1">$R$5/$D$5</f>
        <v>40</v>
      </c>
      <c r="E10" s="2">
        <f t="shared" si="1"/>
        <v>40</v>
      </c>
      <c r="F10" s="2">
        <f t="shared" si="1"/>
        <v>40</v>
      </c>
      <c r="G10" s="2">
        <f t="shared" si="1"/>
        <v>40</v>
      </c>
      <c r="H10" s="2">
        <f t="shared" si="1"/>
        <v>40</v>
      </c>
      <c r="I10" s="2">
        <f t="shared" si="1"/>
        <v>40</v>
      </c>
      <c r="J10" s="2">
        <f t="shared" si="1"/>
        <v>40</v>
      </c>
      <c r="K10" s="2">
        <f t="shared" si="1"/>
        <v>40</v>
      </c>
      <c r="L10" s="2">
        <f t="shared" si="1"/>
        <v>40</v>
      </c>
      <c r="M10" s="2">
        <f t="shared" si="1"/>
        <v>40</v>
      </c>
      <c r="N10" s="2">
        <f t="shared" si="1"/>
        <v>40</v>
      </c>
    </row>
    <row r="11" spans="1:18" x14ac:dyDescent="0.25">
      <c r="B11" s="5" t="s">
        <v>10</v>
      </c>
      <c r="C11" s="2">
        <f>C10+C9</f>
        <v>40</v>
      </c>
      <c r="D11" s="2">
        <f t="shared" ref="D11:N11" si="2">D10+D9</f>
        <v>40</v>
      </c>
      <c r="E11" s="2">
        <f t="shared" si="2"/>
        <v>40</v>
      </c>
      <c r="F11" s="2">
        <f>F10+F9</f>
        <v>40</v>
      </c>
      <c r="G11" s="2">
        <f t="shared" si="2"/>
        <v>40</v>
      </c>
      <c r="H11" s="2">
        <f t="shared" si="2"/>
        <v>40</v>
      </c>
      <c r="I11" s="2">
        <f t="shared" si="2"/>
        <v>44</v>
      </c>
      <c r="J11" s="2">
        <f t="shared" si="2"/>
        <v>56</v>
      </c>
      <c r="K11" s="2">
        <f t="shared" si="2"/>
        <v>60</v>
      </c>
      <c r="L11" s="2">
        <f t="shared" si="2"/>
        <v>80</v>
      </c>
      <c r="M11" s="2">
        <f t="shared" si="2"/>
        <v>80</v>
      </c>
      <c r="N11" s="2">
        <f t="shared" si="2"/>
        <v>88</v>
      </c>
    </row>
    <row r="12" spans="1:18" x14ac:dyDescent="0.25">
      <c r="B12" s="4" t="s">
        <v>2</v>
      </c>
      <c r="C12" s="1">
        <v>13</v>
      </c>
      <c r="D12" s="1">
        <v>14</v>
      </c>
      <c r="E12" s="1">
        <v>15</v>
      </c>
      <c r="F12" s="1">
        <v>16</v>
      </c>
      <c r="G12" s="1">
        <v>17</v>
      </c>
      <c r="H12" s="1">
        <v>18</v>
      </c>
      <c r="I12" s="1">
        <v>19</v>
      </c>
      <c r="J12" s="1">
        <v>20</v>
      </c>
      <c r="K12" s="1">
        <v>21</v>
      </c>
      <c r="L12" s="1">
        <v>22</v>
      </c>
      <c r="M12" s="1">
        <v>23</v>
      </c>
      <c r="N12" s="1">
        <v>24</v>
      </c>
    </row>
    <row r="13" spans="1:18" x14ac:dyDescent="0.25">
      <c r="B13" s="3" t="s">
        <v>3</v>
      </c>
      <c r="C13" s="2">
        <v>12</v>
      </c>
      <c r="D13" s="2">
        <v>10</v>
      </c>
      <c r="E13" s="2">
        <v>10</v>
      </c>
      <c r="F13" s="2">
        <v>10</v>
      </c>
      <c r="G13" s="2">
        <v>8</v>
      </c>
      <c r="H13" s="2">
        <v>7</v>
      </c>
      <c r="I13" s="2">
        <v>7</v>
      </c>
      <c r="J13" s="2">
        <v>6</v>
      </c>
      <c r="K13" s="2">
        <v>4</v>
      </c>
      <c r="L13" s="2">
        <v>2</v>
      </c>
      <c r="M13" s="2">
        <v>0</v>
      </c>
      <c r="N13" s="2">
        <v>0</v>
      </c>
    </row>
    <row r="14" spans="1:18" ht="30" x14ac:dyDescent="0.25">
      <c r="B14" s="3" t="s">
        <v>6</v>
      </c>
      <c r="C14" s="2">
        <f>C13*$L$5/$D$5</f>
        <v>48</v>
      </c>
      <c r="D14" s="2">
        <f t="shared" ref="D14:N14" si="3">D13*$L$5/$D$5</f>
        <v>40</v>
      </c>
      <c r="E14" s="2">
        <f t="shared" si="3"/>
        <v>40</v>
      </c>
      <c r="F14" s="2">
        <f t="shared" si="3"/>
        <v>40</v>
      </c>
      <c r="G14" s="2">
        <f t="shared" si="3"/>
        <v>32</v>
      </c>
      <c r="H14" s="2">
        <f t="shared" si="3"/>
        <v>28</v>
      </c>
      <c r="I14" s="2">
        <f t="shared" si="3"/>
        <v>28</v>
      </c>
      <c r="J14" s="2">
        <f t="shared" si="3"/>
        <v>24</v>
      </c>
      <c r="K14" s="2">
        <f t="shared" si="3"/>
        <v>16</v>
      </c>
      <c r="L14" s="2">
        <f t="shared" si="3"/>
        <v>8</v>
      </c>
      <c r="M14" s="2">
        <f t="shared" si="3"/>
        <v>0</v>
      </c>
      <c r="N14" s="2">
        <f t="shared" si="3"/>
        <v>0</v>
      </c>
    </row>
    <row r="15" spans="1:18" ht="30" x14ac:dyDescent="0.25">
      <c r="B15" s="3" t="s">
        <v>7</v>
      </c>
      <c r="C15" s="2">
        <f>$R$5/$D$5</f>
        <v>40</v>
      </c>
      <c r="D15" s="2">
        <f t="shared" ref="D15:N15" si="4">$R$5/$D$5</f>
        <v>40</v>
      </c>
      <c r="E15" s="2">
        <f t="shared" si="4"/>
        <v>40</v>
      </c>
      <c r="F15" s="2">
        <f t="shared" si="4"/>
        <v>40</v>
      </c>
      <c r="G15" s="2">
        <f t="shared" si="4"/>
        <v>40</v>
      </c>
      <c r="H15" s="2">
        <f t="shared" si="4"/>
        <v>40</v>
      </c>
      <c r="I15" s="2">
        <f t="shared" si="4"/>
        <v>40</v>
      </c>
      <c r="J15" s="2">
        <f t="shared" si="4"/>
        <v>40</v>
      </c>
      <c r="K15" s="2">
        <f t="shared" si="4"/>
        <v>40</v>
      </c>
      <c r="L15" s="2">
        <f t="shared" si="4"/>
        <v>40</v>
      </c>
      <c r="M15" s="2">
        <f t="shared" si="4"/>
        <v>40</v>
      </c>
      <c r="N15" s="2">
        <f t="shared" si="4"/>
        <v>40</v>
      </c>
    </row>
    <row r="16" spans="1:18" x14ac:dyDescent="0.25">
      <c r="B16" s="5" t="s">
        <v>10</v>
      </c>
      <c r="C16" s="37">
        <f>C15+C14</f>
        <v>88</v>
      </c>
      <c r="D16" s="2">
        <f t="shared" ref="D16:N16" si="5">D15+D14</f>
        <v>80</v>
      </c>
      <c r="E16" s="2">
        <f t="shared" si="5"/>
        <v>80</v>
      </c>
      <c r="F16" s="2">
        <f t="shared" si="5"/>
        <v>80</v>
      </c>
      <c r="G16" s="2">
        <f t="shared" si="5"/>
        <v>72</v>
      </c>
      <c r="H16" s="2">
        <f t="shared" si="5"/>
        <v>68</v>
      </c>
      <c r="I16" s="2">
        <f t="shared" si="5"/>
        <v>68</v>
      </c>
      <c r="J16" s="2">
        <f t="shared" si="5"/>
        <v>64</v>
      </c>
      <c r="K16" s="2">
        <f t="shared" si="5"/>
        <v>56</v>
      </c>
      <c r="L16" s="2">
        <f t="shared" si="5"/>
        <v>48</v>
      </c>
      <c r="M16" s="2">
        <f t="shared" si="5"/>
        <v>40</v>
      </c>
      <c r="N16" s="2">
        <f t="shared" si="5"/>
        <v>40</v>
      </c>
    </row>
    <row r="18" spans="2:11" ht="60" customHeight="1" x14ac:dyDescent="0.25">
      <c r="B18" s="66" t="s">
        <v>11</v>
      </c>
      <c r="C18" s="66"/>
      <c r="D18" s="66"/>
      <c r="E18" s="66"/>
      <c r="F18" s="66"/>
      <c r="G18" s="66"/>
      <c r="H18" s="66"/>
      <c r="I18" s="66"/>
      <c r="J18" s="66"/>
      <c r="K18" s="8">
        <f>N11</f>
        <v>88</v>
      </c>
    </row>
  </sheetData>
  <mergeCells count="7">
    <mergeCell ref="B18:J18"/>
    <mergeCell ref="A1:R1"/>
    <mergeCell ref="A3:P3"/>
    <mergeCell ref="B5:C5"/>
    <mergeCell ref="F5:G5"/>
    <mergeCell ref="J5:K5"/>
    <mergeCell ref="N5:Q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A10" workbookViewId="0">
      <selection activeCell="I7" sqref="F1:I7"/>
    </sheetView>
  </sheetViews>
  <sheetFormatPr defaultRowHeight="15" x14ac:dyDescent="0.25"/>
  <cols>
    <col min="2" max="2" width="12" bestFit="1" customWidth="1"/>
    <col min="3" max="3" width="6.7109375" customWidth="1"/>
    <col min="4" max="4" width="9.5703125" bestFit="1" customWidth="1"/>
    <col min="7" max="7" width="10" customWidth="1"/>
    <col min="8" max="8" width="20.5703125" customWidth="1"/>
    <col min="9" max="9" width="40.5703125" customWidth="1"/>
    <col min="10" max="10" width="22.42578125" customWidth="1"/>
  </cols>
  <sheetData>
    <row r="1" spans="1:9" x14ac:dyDescent="0.25">
      <c r="F1" t="s">
        <v>80</v>
      </c>
      <c r="G1" t="s">
        <v>81</v>
      </c>
      <c r="H1" t="s">
        <v>82</v>
      </c>
      <c r="I1" t="s">
        <v>83</v>
      </c>
    </row>
    <row r="2" spans="1:9" x14ac:dyDescent="0.25">
      <c r="A2" s="2"/>
      <c r="B2" s="81" t="s">
        <v>32</v>
      </c>
      <c r="C2" s="81" t="s">
        <v>78</v>
      </c>
      <c r="D2" s="81" t="s">
        <v>79</v>
      </c>
      <c r="F2">
        <v>1</v>
      </c>
      <c r="G2">
        <v>20.614730000000002</v>
      </c>
      <c r="H2">
        <v>7.2512239999999997E-3</v>
      </c>
      <c r="I2" s="82">
        <v>0.47</v>
      </c>
    </row>
    <row r="3" spans="1:9" x14ac:dyDescent="0.25">
      <c r="A3" s="80" t="s">
        <v>74</v>
      </c>
      <c r="B3" s="48">
        <v>22.28685625</v>
      </c>
      <c r="C3" s="2">
        <v>40</v>
      </c>
      <c r="D3" s="79">
        <v>6157.7935641478971</v>
      </c>
      <c r="F3">
        <v>2</v>
      </c>
      <c r="G3">
        <v>20.824760000000001</v>
      </c>
      <c r="H3">
        <v>7.1580510000000003E-3</v>
      </c>
      <c r="I3" s="82">
        <v>0.45</v>
      </c>
    </row>
    <row r="4" spans="1:9" x14ac:dyDescent="0.25">
      <c r="A4" s="80" t="s">
        <v>75</v>
      </c>
      <c r="B4" s="48">
        <v>22.496893749999998</v>
      </c>
      <c r="C4" s="2">
        <v>38</v>
      </c>
      <c r="D4" s="79">
        <v>5099.8582365844231</v>
      </c>
      <c r="F4">
        <v>3</v>
      </c>
      <c r="G4">
        <v>22.286860000000001</v>
      </c>
      <c r="H4">
        <v>6.1376779999999997E-3</v>
      </c>
      <c r="I4" s="82">
        <v>0.4</v>
      </c>
    </row>
    <row r="5" spans="1:9" x14ac:dyDescent="0.25">
      <c r="A5" s="80" t="s">
        <v>76</v>
      </c>
      <c r="B5" s="48">
        <v>24.332931250000001</v>
      </c>
      <c r="C5" s="2">
        <v>35</v>
      </c>
      <c r="D5" s="79">
        <v>4809.1200704648518</v>
      </c>
      <c r="F5">
        <v>4</v>
      </c>
      <c r="G5">
        <v>22.49689</v>
      </c>
      <c r="H5">
        <v>6.0597969999999996E-3</v>
      </c>
      <c r="I5" s="82">
        <v>0.38</v>
      </c>
    </row>
    <row r="6" spans="1:9" x14ac:dyDescent="0.25">
      <c r="A6" s="80" t="s">
        <v>77</v>
      </c>
      <c r="B6" s="48">
        <v>24.554949999999998</v>
      </c>
      <c r="C6" s="2">
        <v>31</v>
      </c>
      <c r="D6" s="79">
        <v>4259.2632478712303</v>
      </c>
      <c r="F6">
        <v>5</v>
      </c>
      <c r="G6">
        <v>24.332930000000001</v>
      </c>
      <c r="H6">
        <v>5.2516689999999996E-3</v>
      </c>
      <c r="I6" s="82">
        <v>0.35</v>
      </c>
    </row>
    <row r="7" spans="1:9" x14ac:dyDescent="0.25">
      <c r="F7">
        <v>6</v>
      </c>
      <c r="G7">
        <v>24.554950000000002</v>
      </c>
      <c r="H7">
        <v>5.1823240000000003E-3</v>
      </c>
      <c r="I7" s="82">
        <v>0.31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</vt:lpstr>
      <vt:lpstr>1</vt:lpstr>
      <vt:lpstr>Sheet1</vt:lpstr>
    </vt:vector>
  </TitlesOfParts>
  <Company>HCT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</cp:lastModifiedBy>
  <dcterms:created xsi:type="dcterms:W3CDTF">2015-02-23T04:41:35Z</dcterms:created>
  <dcterms:modified xsi:type="dcterms:W3CDTF">2022-11-28T12:41:50Z</dcterms:modified>
</cp:coreProperties>
</file>